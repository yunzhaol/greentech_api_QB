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ki3/Desktop/Grad Year/MDA 9160/Industry Project/GreenTech-Project/Calculations/"/>
    </mc:Choice>
  </mc:AlternateContent>
  <xr:revisionPtr revIDLastSave="0" documentId="13_ncr:1_{C7A67051-C5AD-B744-A339-98577E82E7B0}" xr6:coauthVersionLast="47" xr6:coauthVersionMax="47" xr10:uidLastSave="{00000000-0000-0000-0000-000000000000}"/>
  <bookViews>
    <workbookView xWindow="0" yWindow="0" windowWidth="28800" windowHeight="18000" activeTab="1" xr2:uid="{3D0FDA2F-F376-434A-8CD1-8397E6CB8637}"/>
  </bookViews>
  <sheets>
    <sheet name="Paint Unified" sheetId="4" r:id="rId1"/>
    <sheet name="Doors and accesories" sheetId="1" r:id="rId2"/>
    <sheet name="Pivot Finish wall" sheetId="2" r:id="rId3"/>
    <sheet name="Pivot Finish Ceiling" sheetId="3" r:id="rId4"/>
  </sheets>
  <externalReferences>
    <externalReference r:id="rId5"/>
  </externalReferences>
  <definedNames>
    <definedName name="ExternalData_1" localSheetId="0" hidden="1">'Paint Unified'!$A$1:$O$31</definedName>
    <definedName name="ExternalData_1" localSheetId="0" hidden="1">'Paint Unified'!$A$1:$O$31</definedName>
  </definedNames>
  <calcPr calcId="18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  <c r="S2" i="4"/>
  <c r="S12" i="4" s="1"/>
  <c r="T2" i="4"/>
  <c r="R12" i="4" s="1"/>
  <c r="U2" i="4"/>
  <c r="T12" i="4" s="1"/>
  <c r="R5" i="4"/>
  <c r="S5" i="4"/>
  <c r="T5" i="4"/>
  <c r="U5" i="4"/>
  <c r="R8" i="4"/>
  <c r="S8" i="4"/>
  <c r="T8" i="4"/>
  <c r="U8" i="4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D12" i="3"/>
  <c r="C12" i="3"/>
  <c r="C11" i="3"/>
  <c r="D11" i="3" s="1"/>
  <c r="C10" i="3"/>
  <c r="D10" i="3" s="1"/>
  <c r="C9" i="3"/>
  <c r="D9" i="3" s="1"/>
  <c r="D8" i="3"/>
  <c r="C8" i="3"/>
  <c r="C7" i="3"/>
  <c r="D7" i="3" s="1"/>
  <c r="C6" i="3"/>
  <c r="D6" i="3" s="1"/>
  <c r="C5" i="3"/>
  <c r="D5" i="3" s="1"/>
  <c r="D4" i="3"/>
  <c r="C4" i="3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D12" i="2"/>
  <c r="C12" i="2"/>
  <c r="C11" i="2"/>
  <c r="D11" i="2" s="1"/>
  <c r="C10" i="2"/>
  <c r="D10" i="2" s="1"/>
  <c r="C9" i="2"/>
  <c r="D9" i="2" s="1"/>
  <c r="D8" i="2"/>
  <c r="C8" i="2"/>
  <c r="C7" i="2"/>
  <c r="D7" i="2" s="1"/>
  <c r="C6" i="2"/>
  <c r="D6" i="2" s="1"/>
  <c r="C5" i="2"/>
  <c r="D5" i="2" s="1"/>
  <c r="D4" i="2"/>
  <c r="C4" i="2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I4" i="1"/>
  <c r="L4" i="1" s="1"/>
  <c r="C4" i="1"/>
  <c r="F4" i="1" s="1"/>
  <c r="I3" i="1"/>
  <c r="L3" i="1" s="1"/>
  <c r="C3" i="1"/>
  <c r="F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8C971C-9B4E-AA48-8DAD-B9D95EC71213}" keepAlive="1" interval="30" name="Query - Paint Unified" description="Connection to the 'Paint Unified' query in the workbook." type="5" refreshedVersion="8" background="1" refreshOnLoad="1" saveData="1">
    <dbPr connection="Provider=Microsoft.Mashup.OleDb.1;Data Source=$Workbook$;Location=&quot;Paint Unified&quot;;Extended Properties=&quot;&quot;" command="SELECT * FROM [Paint Unified]"/>
  </connection>
</connections>
</file>

<file path=xl/sharedStrings.xml><?xml version="1.0" encoding="utf-8"?>
<sst xmlns="http://schemas.openxmlformats.org/spreadsheetml/2006/main" count="191" uniqueCount="106">
  <si>
    <t>Type door</t>
  </si>
  <si>
    <t>Total area sf</t>
  </si>
  <si>
    <t>Labor Sf</t>
  </si>
  <si>
    <t>Paint Sf</t>
  </si>
  <si>
    <t>Value per door (1 coat)</t>
  </si>
  <si>
    <t>Accessories</t>
  </si>
  <si>
    <t>Area Sf per ft</t>
  </si>
  <si>
    <t>Value per Ft</t>
  </si>
  <si>
    <t>Single standard wood door</t>
  </si>
  <si>
    <t>Baseboard</t>
  </si>
  <si>
    <t>One and a half wood door</t>
  </si>
  <si>
    <t>Crownmolding</t>
  </si>
  <si>
    <t>Bi-fold wood door</t>
  </si>
  <si>
    <t>Single tall wood door</t>
  </si>
  <si>
    <t>One and a Half tall wood door</t>
  </si>
  <si>
    <t>Bi-fold tall wood door</t>
  </si>
  <si>
    <t>Single Metal man door</t>
  </si>
  <si>
    <t>One and a half Metal man door</t>
  </si>
  <si>
    <t>Bi-fold metal man door</t>
  </si>
  <si>
    <t>FINISH WALL PAINT</t>
  </si>
  <si>
    <t>Row Labels</t>
  </si>
  <si>
    <t>Sum of W Finish paint gal unit</t>
  </si>
  <si>
    <t>Round up gal</t>
  </si>
  <si>
    <t>Total Price</t>
  </si>
  <si>
    <t xml:space="preserve"> </t>
  </si>
  <si>
    <t>PM 200 0 FL EXTRA Pro Mar 200 Zero Voc Contractor grade</t>
  </si>
  <si>
    <t>FINISH CEILING PAINT</t>
  </si>
  <si>
    <t>Sum of C Finish paint gal unit</t>
  </si>
  <si>
    <t>PM 400 0 FL EXTRA Zero Voc Ceiling</t>
  </si>
  <si>
    <t>Primer</t>
  </si>
  <si>
    <t>G</t>
  </si>
  <si>
    <t>Bin Shellac Primer</t>
  </si>
  <si>
    <t>Zinsser</t>
  </si>
  <si>
    <t xml:space="preserve">G </t>
  </si>
  <si>
    <t xml:space="preserve">Stix Urethane Acrylic Primer White </t>
  </si>
  <si>
    <t xml:space="preserve">SXA11009-01 </t>
  </si>
  <si>
    <t>Benjamin Moore</t>
  </si>
  <si>
    <t xml:space="preserve">K08200-001 </t>
  </si>
  <si>
    <t>PM 200 0 PRIMER Zero VOC Primer</t>
  </si>
  <si>
    <t>Sherwin Williams</t>
  </si>
  <si>
    <t>PVA INT PRMR WHITE Drywall Primer</t>
  </si>
  <si>
    <t>Finish</t>
  </si>
  <si>
    <t xml:space="preserve">Coronado Rust Scat Oil Accent Base </t>
  </si>
  <si>
    <t xml:space="preserve">13.36-001 </t>
  </si>
  <si>
    <t>Corotech Command Acrylic Urethane Satin</t>
  </si>
  <si>
    <t xml:space="preserve">V3922X-001 </t>
  </si>
  <si>
    <t xml:space="preserve">Aura Exterior Low Lustre Base 1 </t>
  </si>
  <si>
    <t xml:space="preserve">F6341X-001 </t>
  </si>
  <si>
    <t xml:space="preserve">Arborcoat Ext. Wb Stain Solid Base </t>
  </si>
  <si>
    <t xml:space="preserve">K6401X-001 </t>
  </si>
  <si>
    <t xml:space="preserve">Regal Select Ext Low Lustre Base 1 </t>
  </si>
  <si>
    <t xml:space="preserve">K4011X-001 </t>
  </si>
  <si>
    <t xml:space="preserve">Advance Wb Alkyd Pearl Base 1 </t>
  </si>
  <si>
    <t xml:space="preserve">K7921X-001 </t>
  </si>
  <si>
    <t xml:space="preserve">Regal Select Int Ulti-matte Base 1 </t>
  </si>
  <si>
    <t xml:space="preserve">F5521X-001 </t>
  </si>
  <si>
    <t xml:space="preserve">Scuff X Interior Pearl finish base 1 </t>
  </si>
  <si>
    <t xml:space="preserve">K4861X-001 </t>
  </si>
  <si>
    <t xml:space="preserve">Ultraspec Interior Low Sheen Base 1 </t>
  </si>
  <si>
    <t xml:space="preserve">F5371X-001 </t>
  </si>
  <si>
    <t>IND EN HS PUREWHT Industrial Enamel</t>
  </si>
  <si>
    <t>LXN XP EW Loxon XP</t>
  </si>
  <si>
    <t>DURATION FL EXTRA</t>
  </si>
  <si>
    <t>LATITUDE EXT FL EW</t>
  </si>
  <si>
    <t>Commercial</t>
  </si>
  <si>
    <t>Standard</t>
  </si>
  <si>
    <t xml:space="preserve">Special </t>
  </si>
  <si>
    <t>SPR EXT FL EXTRA SuperPaint Ext</t>
  </si>
  <si>
    <t>Total average</t>
  </si>
  <si>
    <t>CLRTP WBSTN WHT CAD Colour Top Ext Stain</t>
  </si>
  <si>
    <t>EMERALD IN FL EXTR Emerald interior</t>
  </si>
  <si>
    <t>SCUFF TUFF MT EW Scuff X Crossover</t>
  </si>
  <si>
    <t>Min</t>
  </si>
  <si>
    <t>Larger</t>
  </si>
  <si>
    <t>Primer median</t>
  </si>
  <si>
    <t>Primer average</t>
  </si>
  <si>
    <t>SPR INT SA AIR EW SuperPaint Air</t>
  </si>
  <si>
    <t>PM200 HP 0 EG EW  Pro Mar 200 HP</t>
  </si>
  <si>
    <t>Finish median</t>
  </si>
  <si>
    <t>Finish average</t>
  </si>
  <si>
    <t>Ceiling/Finish</t>
  </si>
  <si>
    <t xml:space="preserve">Aura Bath &amp; Spa Matte Base 1 </t>
  </si>
  <si>
    <t xml:space="preserve">K5321X-001 </t>
  </si>
  <si>
    <t>Ceiling</t>
  </si>
  <si>
    <t xml:space="preserve">Waterborne Ceiling Paint White </t>
  </si>
  <si>
    <t xml:space="preserve">K50809-001 </t>
  </si>
  <si>
    <t>Max</t>
  </si>
  <si>
    <t>Ceiling median</t>
  </si>
  <si>
    <t>Ceiling average</t>
  </si>
  <si>
    <t>Column1</t>
  </si>
  <si>
    <t>Column15</t>
  </si>
  <si>
    <t>Price Sf</t>
  </si>
  <si>
    <t>Coverage Sf</t>
  </si>
  <si>
    <t>Price customer</t>
  </si>
  <si>
    <t>% margin</t>
  </si>
  <si>
    <t>Price GT</t>
  </si>
  <si>
    <t>Tax</t>
  </si>
  <si>
    <t>U/M</t>
  </si>
  <si>
    <t>Quantity</t>
  </si>
  <si>
    <t>New Price</t>
  </si>
  <si>
    <t>Unit Price</t>
  </si>
  <si>
    <t>Sales Number</t>
  </si>
  <si>
    <t>Vendor</t>
  </si>
  <si>
    <t>Description</t>
  </si>
  <si>
    <t>Step One Primer - White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</si>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</sst>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44" fontId="2" fillId="0" borderId="0" xfId="1" applyFont="1"/>
    <xf numFmtId="43" fontId="0" fillId="0" borderId="0" xfId="2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3">
    <cellStyle name="Comma 2" xfId="2" xr:uid="{F05C4A9E-18DA-AD4A-B68F-9A8149BB851C}"/>
    <cellStyle name="Currency" xfId="1" builtinId="4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ki3/Desktop/Grad%20Year/MDA%209160/Industry%20Project/GreenTech-Project/Data/Current%20Quoting%20Tool.xlsm" TargetMode="External"/><Relationship Id="rId1" Type="http://schemas.openxmlformats.org/officeDocument/2006/relationships/externalLinkPath" Target="/Users/kiki3/Desktop/Grad%20Year/MDA%209160/Industry%20Project/GreenTech-Project/Data/Current%20Quoting%20To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IMATE FORM"/>
      <sheetName val="Areas and paint"/>
      <sheetName val="Calculations"/>
      <sheetName val="Doors and accesories"/>
      <sheetName val="Pivot Finish wall"/>
      <sheetName val="Pivot Finish Ceiling"/>
      <sheetName val="Paint Unified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ki3/Desktop/Grad%20Year/MDA%209160/Industry%20Project/GreenTech-Project/Data/Current%20Quoting%20Tool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ki3/Desktop/Grad%20Year/MDA%209160/Industry%20Project/GreenTech-Project/Data/Current%20Quoting%20Tool.xlsm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nardo Bonil" refreshedDate="45246.382211805554" createdVersion="8" refreshedVersion="8" minRefreshableVersion="3" recordCount="39" xr:uid="{01137231-AD8B-CA4A-8FF4-6F2C249FF5B7}">
  <cacheSource type="worksheet">
    <worksheetSource ref="K4:P43" sheet="Calculations" r:id="rId2"/>
  </cacheSource>
  <cacheFields count="7">
    <cacheField name="W Finish Type" numFmtId="2">
      <sharedItems containsMixedTypes="1" containsNumber="1" containsInteger="1" minValue="0" maxValue="0" count="3">
        <s v="PM 200 0 FL EXTRA Pro Mar 200 Zero Voc Contractor grade"/>
        <n v="0"/>
        <s v=" "/>
      </sharedItems>
    </cacheField>
    <cacheField name="W Primer paint gal unit" numFmtId="2">
      <sharedItems containsSemiMixedTypes="0" containsString="0" containsNumber="1" minValue="0" maxValue="2.25"/>
    </cacheField>
    <cacheField name="W Finish paint gal unit" numFmtId="2">
      <sharedItems containsSemiMixedTypes="0" containsString="0" containsNumber="1" containsInteger="1" minValue="0" maxValue="6"/>
    </cacheField>
    <cacheField name="C Finish Type" numFmtId="2">
      <sharedItems containsMixedTypes="1" containsNumber="1" containsInteger="1" minValue="0" maxValue="0"/>
    </cacheField>
    <cacheField name="C Primer paint gal unit" numFmtId="2">
      <sharedItems containsSemiMixedTypes="0" containsString="0" containsNumber="1" containsInteger="1" minValue="0" maxValue="0"/>
    </cacheField>
    <cacheField name="C Finish paint gal unit" numFmtId="2">
      <sharedItems containsSemiMixedTypes="0" containsString="0" containsNumber="1" containsInteger="1" minValue="0" maxValue="0"/>
    </cacheField>
    <cacheField name="Field1" numFmtId="0" formula="ROUNDUP(#NAME?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Bonil" refreshedDate="45246.382212268516" createdVersion="8" refreshedVersion="8" minRefreshableVersion="3" recordCount="39" xr:uid="{C3527CCA-B9F9-3043-B834-7050F49E8D71}">
  <cacheSource type="worksheet">
    <worksheetSource ref="N4:P43" sheet="Calculations" r:id="rId2"/>
  </cacheSource>
  <cacheFields count="3">
    <cacheField name="C Finish Type" numFmtId="2">
      <sharedItems containsMixedTypes="1" containsNumber="1" containsInteger="1" minValue="0" maxValue="0" count="2">
        <s v="PM 400 0 FL EXTRA Zero Voc Ceiling"/>
        <n v="0"/>
      </sharedItems>
    </cacheField>
    <cacheField name="C Primer paint gal unit" numFmtId="2">
      <sharedItems containsSemiMixedTypes="0" containsString="0" containsNumber="1" containsInteger="1" minValue="0" maxValue="0"/>
    </cacheField>
    <cacheField name="C Finish paint gal unit" numFmtId="2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2.25"/>
    <n v="6"/>
    <s v="PM 400 0 FL EXTRA Zero Voc Ceiling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1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  <r>
    <x v="2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3CA0C1-2D41-5947-9CC3-D6030EAE8E00}" name="WPaint_summary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6" firstHeaderRow="1" firstDataRow="1" firstDataCol="1"/>
  <pivotFields count="7">
    <pivotField axis="axisRow" showAll="0">
      <items count="4">
        <item x="1"/>
        <item x="2"/>
        <item x="0"/>
        <item t="default"/>
      </items>
    </pivotField>
    <pivotField numFmtId="2" showAll="0"/>
    <pivotField dataField="1" numFmtId="2" showAll="0"/>
    <pivotField showAll="0"/>
    <pivotField numFmtId="2" showAll="0"/>
    <pivotField numFmtId="2" showAll="0"/>
    <pivotField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W Finish paint gal unit" fld="2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1BFA0-8F72-9E4A-8B39-5C5CF51211C1}" name="CPaint_summary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5" firstHeaderRow="1" firstDataRow="1" firstDataCol="1"/>
  <pivotFields count="3">
    <pivotField axis="axisRow" showAll="0">
      <items count="3">
        <item x="1"/>
        <item x="0"/>
        <item t="default"/>
      </items>
    </pivotField>
    <pivotField numFmtId="2" showAll="0"/>
    <pivotField dataField="1" numFmtId="2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C Finish paint gal unit" fld="2" baseField="0" baseItem="0" numFmtId="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4379173-B112-405D-8730-2F15B2311ADC}" autoFormatId="16" applyNumberFormats="0" applyBorderFormats="0" applyFontFormats="0" applyPatternFormats="0" applyAlignmentFormats="0" applyWidthHeightFormats="0">
  <queryTableRefresh nextId="19" unboundColumnsRight="1">
    <queryTableFields count="16">
      <queryTableField id="1" name="Vendor" tableColumnId="1"/>
      <queryTableField id="2" name="Sales Number" tableColumnId="2"/>
      <queryTableField id="3" name=" Description " tableColumnId="3"/>
      <queryTableField id="4" name="Unit Price" tableColumnId="4"/>
      <queryTableField id="5" name="New Price" tableColumnId="5"/>
      <queryTableField id="6" name="Quantity" tableColumnId="6"/>
      <queryTableField id="7" name="U/M" tableColumnId="7"/>
      <queryTableField id="8" name="Tax" tableColumnId="8"/>
      <queryTableField id="9" name="Price GT" tableColumnId="9"/>
      <queryTableField id="10" name="% margin" tableColumnId="10"/>
      <queryTableField id="11" name="Price customer" tableColumnId="11"/>
      <queryTableField id="12" name="Coverage Sf" tableColumnId="12"/>
      <queryTableField id="13" name="Price Sf" tableColumnId="13"/>
      <queryTableField id="17" name="Applicacion" tableColumnId="17"/>
      <queryTableField id="15" name="Column15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277B4-8CC7-2945-AA26-03ED2B1CB74E}" name="Table_Paint_Unified" displayName="Table_Paint_Unified" ref="A1:P31" tableType="queryTable" totalsRowShown="0">
  <autoFilter ref="A1:P31" xr:uid="{F58610DD-66DB-4D7D-9318-8C8E0DBB33E3}"/>
  <tableColumns count="16">
    <tableColumn id="1" xr3:uid="{0828DFF6-0C33-453E-B02D-D1C13D98A0F8}" uniqueName="1" name="Vendor" queryTableFieldId="1" dataDxfId="2"/>
    <tableColumn id="2" xr3:uid="{1A588F9F-881C-4026-A29B-D7B188779619}" uniqueName="2" name="Sales Number" queryTableFieldId="2"/>
    <tableColumn id="3" xr3:uid="{8BAE379E-AA41-421E-A637-645C0C94FD27}" uniqueName="3" name="Description" queryTableFieldId="3" dataDxfId="1"/>
    <tableColumn id="4" xr3:uid="{584059C3-1A81-4499-AC99-E8B72D1D4537}" uniqueName="4" name="Unit Price" queryTableFieldId="4"/>
    <tableColumn id="5" xr3:uid="{2EECE823-8AE5-4F27-B3EE-81EA0BA80ABB}" uniqueName="5" name="New Price" queryTableFieldId="5"/>
    <tableColumn id="6" xr3:uid="{1FE75116-BC3E-4BAC-8F73-BB9CF639E095}" uniqueName="6" name="Quantity" queryTableFieldId="6"/>
    <tableColumn id="7" xr3:uid="{E7224DA5-A68D-4B84-9D35-CE3B020B648A}" uniqueName="7" name="U/M" queryTableFieldId="7" dataDxfId="0"/>
    <tableColumn id="8" xr3:uid="{33F1E9C8-EB2E-4A17-917D-A36CD0837ED4}" uniqueName="8" name="Tax" queryTableFieldId="8"/>
    <tableColumn id="9" xr3:uid="{CB18B03B-77AC-49A5-B8AC-BB50DE07DAA3}" uniqueName="9" name="Price GT" queryTableFieldId="9" dataCellStyle="Comma"/>
    <tableColumn id="10" xr3:uid="{74C1A8EE-3C46-48DD-9F50-AB9DB0A3CC74}" uniqueName="10" name="% margin" queryTableFieldId="10"/>
    <tableColumn id="11" xr3:uid="{103D5696-79AA-4932-B6AE-1F4A6A221677}" uniqueName="11" name="Price customer" queryTableFieldId="11" dataCellStyle="Comma"/>
    <tableColumn id="12" xr3:uid="{D7EA31F0-D8BA-43BC-9B30-4FFB41EF2226}" uniqueName="12" name="Coverage Sf" queryTableFieldId="12"/>
    <tableColumn id="13" xr3:uid="{C54FAC9F-6446-4C76-9CF5-663C8D1CF7F9}" uniqueName="13" name="Price Sf" queryTableFieldId="13"/>
    <tableColumn id="17" xr3:uid="{792E760E-157D-4636-9D99-50D1EFED2FFA}" uniqueName="17" name="Application" queryTableFieldId="17"/>
    <tableColumn id="15" xr3:uid="{02362017-5CB5-4B79-AB47-85F2A6C7BEF9}" uniqueName="15" name="Column15" queryTableFieldId="15"/>
    <tableColumn id="16" xr3:uid="{F98A7926-6F1B-4301-A414-B3152258066E}" uniqueName="16" name="Column1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52A3-8289-A344-A7BE-0088F8BC8C19}">
  <dimension ref="A1:U31"/>
  <sheetViews>
    <sheetView workbookViewId="0">
      <selection sqref="A1:N29"/>
    </sheetView>
  </sheetViews>
  <sheetFormatPr baseColWidth="10" defaultColWidth="8.83203125" defaultRowHeight="15" x14ac:dyDescent="0.2"/>
  <cols>
    <col min="1" max="1" width="16.1640625" bestFit="1" customWidth="1"/>
    <col min="2" max="2" width="15.1640625" bestFit="1" customWidth="1"/>
    <col min="3" max="3" width="51" bestFit="1" customWidth="1"/>
    <col min="4" max="4" width="11.6640625" bestFit="1" customWidth="1"/>
    <col min="5" max="5" width="11.83203125" bestFit="1" customWidth="1"/>
    <col min="6" max="6" width="10.6640625" bestFit="1" customWidth="1"/>
    <col min="7" max="7" width="7.1640625" bestFit="1" customWidth="1"/>
    <col min="8" max="8" width="6.1640625" bestFit="1" customWidth="1"/>
    <col min="9" max="9" width="12" bestFit="1" customWidth="1"/>
    <col min="10" max="10" width="11.1640625" bestFit="1" customWidth="1"/>
    <col min="11" max="11" width="16.1640625" style="12" bestFit="1" customWidth="1"/>
    <col min="12" max="12" width="13.33203125" bestFit="1" customWidth="1"/>
    <col min="13" max="13" width="9.5" bestFit="1" customWidth="1"/>
    <col min="14" max="14" width="13.1640625" bestFit="1" customWidth="1"/>
    <col min="15" max="15" width="11.83203125" bestFit="1" customWidth="1"/>
    <col min="16" max="16" width="10.83203125" bestFit="1" customWidth="1"/>
    <col min="17" max="17" width="13" bestFit="1" customWidth="1"/>
    <col min="18" max="18" width="14.33203125" bestFit="1" customWidth="1"/>
    <col min="19" max="19" width="14" bestFit="1" customWidth="1"/>
    <col min="20" max="20" width="15.5" customWidth="1"/>
  </cols>
  <sheetData>
    <row r="1" spans="1:21" x14ac:dyDescent="0.2">
      <c r="A1" t="s">
        <v>102</v>
      </c>
      <c r="B1" t="s">
        <v>101</v>
      </c>
      <c r="C1" t="s">
        <v>103</v>
      </c>
      <c r="D1" t="s">
        <v>100</v>
      </c>
      <c r="E1" t="s">
        <v>99</v>
      </c>
      <c r="F1" t="s">
        <v>98</v>
      </c>
      <c r="G1" t="s">
        <v>97</v>
      </c>
      <c r="H1" t="s">
        <v>96</v>
      </c>
      <c r="I1" t="s">
        <v>95</v>
      </c>
      <c r="J1" t="s">
        <v>94</v>
      </c>
      <c r="K1" s="12" t="s">
        <v>93</v>
      </c>
      <c r="L1" t="s">
        <v>92</v>
      </c>
      <c r="M1" t="s">
        <v>91</v>
      </c>
      <c r="N1" t="s">
        <v>105</v>
      </c>
      <c r="O1" t="s">
        <v>90</v>
      </c>
      <c r="P1" t="s">
        <v>89</v>
      </c>
      <c r="R1" s="15" t="s">
        <v>88</v>
      </c>
      <c r="S1" s="15" t="s">
        <v>87</v>
      </c>
      <c r="T1" s="1" t="s">
        <v>86</v>
      </c>
      <c r="U1" s="1" t="s">
        <v>72</v>
      </c>
    </row>
    <row r="2" spans="1:21" x14ac:dyDescent="0.2">
      <c r="A2" t="s">
        <v>39</v>
      </c>
      <c r="B2" s="3">
        <v>650362817</v>
      </c>
      <c r="C2" t="s">
        <v>28</v>
      </c>
      <c r="D2">
        <v>26.54</v>
      </c>
      <c r="E2">
        <v>28.265099999999997</v>
      </c>
      <c r="F2">
        <v>1</v>
      </c>
      <c r="G2" t="s">
        <v>30</v>
      </c>
      <c r="H2">
        <v>0.13</v>
      </c>
      <c r="I2" s="12">
        <v>31.939562999999993</v>
      </c>
      <c r="J2">
        <v>0.05</v>
      </c>
      <c r="K2" s="12">
        <v>33.536541149999991</v>
      </c>
      <c r="L2">
        <v>300</v>
      </c>
      <c r="M2">
        <v>0.12</v>
      </c>
      <c r="N2" t="s">
        <v>83</v>
      </c>
      <c r="R2" s="13">
        <f>AVERAGEA(M2:M4)</f>
        <v>0.20333333333333337</v>
      </c>
      <c r="S2" s="13">
        <f>MEDIAN(M2:M4)</f>
        <v>0.17</v>
      </c>
      <c r="T2">
        <f>MAX(M2:M4)</f>
        <v>0.32</v>
      </c>
      <c r="U2">
        <f>MIN(M2:M4)</f>
        <v>0.12</v>
      </c>
    </row>
    <row r="3" spans="1:21" x14ac:dyDescent="0.2">
      <c r="A3" t="s">
        <v>36</v>
      </c>
      <c r="B3" s="3" t="s">
        <v>85</v>
      </c>
      <c r="C3" t="s">
        <v>84</v>
      </c>
      <c r="D3">
        <v>51.69</v>
      </c>
      <c r="E3">
        <v>55.049849999999992</v>
      </c>
      <c r="F3">
        <v>1</v>
      </c>
      <c r="G3" t="s">
        <v>33</v>
      </c>
      <c r="H3">
        <v>0.13</v>
      </c>
      <c r="I3" s="12">
        <v>62.206330499999986</v>
      </c>
      <c r="J3">
        <v>0.05</v>
      </c>
      <c r="K3" s="12">
        <v>65.316647024999995</v>
      </c>
      <c r="L3">
        <v>400</v>
      </c>
      <c r="M3">
        <v>0.17</v>
      </c>
      <c r="N3" t="s">
        <v>83</v>
      </c>
    </row>
    <row r="4" spans="1:21" x14ac:dyDescent="0.2">
      <c r="A4" t="s">
        <v>36</v>
      </c>
      <c r="B4" s="3" t="s">
        <v>82</v>
      </c>
      <c r="C4" t="s">
        <v>81</v>
      </c>
      <c r="D4">
        <v>87.99</v>
      </c>
      <c r="E4">
        <v>93.709349999999986</v>
      </c>
      <c r="F4">
        <v>1</v>
      </c>
      <c r="G4" t="s">
        <v>33</v>
      </c>
      <c r="H4">
        <v>0.13</v>
      </c>
      <c r="I4" s="12">
        <v>105.89156549999997</v>
      </c>
      <c r="J4">
        <v>0.05</v>
      </c>
      <c r="K4" s="12">
        <v>111.18614377499998</v>
      </c>
      <c r="L4">
        <v>350</v>
      </c>
      <c r="M4">
        <v>0.32</v>
      </c>
      <c r="N4" t="s">
        <v>80</v>
      </c>
      <c r="R4" s="15" t="s">
        <v>79</v>
      </c>
      <c r="S4" s="15" t="s">
        <v>78</v>
      </c>
      <c r="T4" s="1" t="s">
        <v>73</v>
      </c>
      <c r="U4" s="1" t="s">
        <v>72</v>
      </c>
    </row>
    <row r="5" spans="1:21" x14ac:dyDescent="0.2">
      <c r="A5" t="s">
        <v>39</v>
      </c>
      <c r="B5" s="3">
        <v>650946627</v>
      </c>
      <c r="C5" t="s">
        <v>25</v>
      </c>
      <c r="D5">
        <v>31.69</v>
      </c>
      <c r="E5">
        <v>33.749850000000002</v>
      </c>
      <c r="F5">
        <v>1</v>
      </c>
      <c r="G5" t="s">
        <v>30</v>
      </c>
      <c r="H5">
        <v>0.13</v>
      </c>
      <c r="I5" s="12">
        <v>38.137330499999997</v>
      </c>
      <c r="J5">
        <v>0.05</v>
      </c>
      <c r="K5" s="12">
        <v>40.044197024999995</v>
      </c>
      <c r="L5">
        <v>300</v>
      </c>
      <c r="M5">
        <v>0.14000000000000001</v>
      </c>
      <c r="N5" t="s">
        <v>41</v>
      </c>
      <c r="R5" s="13">
        <f>AVERAGE(M5:M24)</f>
        <v>0.30900000000000005</v>
      </c>
      <c r="S5" s="13">
        <f>MEDIAN(M5:M24)</f>
        <v>0.26</v>
      </c>
      <c r="T5">
        <f>MAX(M5:M24)</f>
        <v>1.01</v>
      </c>
      <c r="U5">
        <f>MIN(M5:M24)</f>
        <v>0.12</v>
      </c>
    </row>
    <row r="6" spans="1:21" x14ac:dyDescent="0.2">
      <c r="A6" t="s">
        <v>39</v>
      </c>
      <c r="B6" s="3">
        <v>650991565</v>
      </c>
      <c r="C6" t="s">
        <v>77</v>
      </c>
      <c r="D6">
        <v>40.49</v>
      </c>
      <c r="E6">
        <v>43.121850000000002</v>
      </c>
      <c r="F6">
        <v>1</v>
      </c>
      <c r="G6" t="s">
        <v>30</v>
      </c>
      <c r="H6">
        <v>0.13</v>
      </c>
      <c r="I6" s="12">
        <v>48.727690499999994</v>
      </c>
      <c r="J6">
        <v>0.05</v>
      </c>
      <c r="K6" s="12">
        <v>51.164075024999995</v>
      </c>
      <c r="L6">
        <v>300</v>
      </c>
      <c r="M6">
        <v>0.18000000000000002</v>
      </c>
      <c r="N6" t="s">
        <v>41</v>
      </c>
    </row>
    <row r="7" spans="1:21" x14ac:dyDescent="0.2">
      <c r="A7" t="s">
        <v>39</v>
      </c>
      <c r="B7" s="3">
        <v>651189276</v>
      </c>
      <c r="C7" t="s">
        <v>76</v>
      </c>
      <c r="D7">
        <v>52.68</v>
      </c>
      <c r="E7">
        <v>56.104199999999999</v>
      </c>
      <c r="F7">
        <v>1</v>
      </c>
      <c r="G7" t="s">
        <v>30</v>
      </c>
      <c r="H7">
        <v>0.13</v>
      </c>
      <c r="I7" s="12">
        <v>63.397745999999991</v>
      </c>
      <c r="J7">
        <v>0.05</v>
      </c>
      <c r="K7" s="12">
        <v>66.567633299999997</v>
      </c>
      <c r="L7">
        <v>300</v>
      </c>
      <c r="M7">
        <v>0.23</v>
      </c>
      <c r="N7" t="s">
        <v>41</v>
      </c>
      <c r="R7" s="15" t="s">
        <v>75</v>
      </c>
      <c r="S7" s="15" t="s">
        <v>74</v>
      </c>
      <c r="T7" s="1" t="s">
        <v>73</v>
      </c>
      <c r="U7" s="1" t="s">
        <v>72</v>
      </c>
    </row>
    <row r="8" spans="1:21" x14ac:dyDescent="0.2">
      <c r="A8" t="s">
        <v>39</v>
      </c>
      <c r="B8" s="3">
        <v>651203143</v>
      </c>
      <c r="C8" t="s">
        <v>71</v>
      </c>
      <c r="D8">
        <v>54</v>
      </c>
      <c r="E8">
        <v>57.51</v>
      </c>
      <c r="F8">
        <v>1</v>
      </c>
      <c r="G8" t="s">
        <v>30</v>
      </c>
      <c r="H8">
        <v>0.13</v>
      </c>
      <c r="I8" s="12">
        <v>64.986299999999986</v>
      </c>
      <c r="J8">
        <v>0.05</v>
      </c>
      <c r="K8" s="12">
        <v>68.235614999999981</v>
      </c>
      <c r="L8">
        <v>300</v>
      </c>
      <c r="M8">
        <v>0.23</v>
      </c>
      <c r="N8" t="s">
        <v>41</v>
      </c>
      <c r="R8" s="13">
        <f>AVERAGEA(M25:M29)</f>
        <v>0.16799999999999998</v>
      </c>
      <c r="S8" s="13">
        <f>MEDIAN(M25:M29)</f>
        <v>0.09</v>
      </c>
      <c r="T8">
        <f>MAX(M25:M29)</f>
        <v>0.36</v>
      </c>
      <c r="U8">
        <f>MIN(M25:M29)</f>
        <v>6.9999999999999993E-2</v>
      </c>
    </row>
    <row r="9" spans="1:21" x14ac:dyDescent="0.2">
      <c r="A9" t="s">
        <v>39</v>
      </c>
      <c r="B9" s="3">
        <v>651016966</v>
      </c>
      <c r="C9" t="s">
        <v>70</v>
      </c>
      <c r="D9">
        <v>60.19</v>
      </c>
      <c r="E9">
        <v>64.102350000000001</v>
      </c>
      <c r="F9">
        <v>1</v>
      </c>
      <c r="G9" t="s">
        <v>30</v>
      </c>
      <c r="H9">
        <v>0.13</v>
      </c>
      <c r="I9" s="12">
        <v>72.435655499999996</v>
      </c>
      <c r="J9">
        <v>0.05</v>
      </c>
      <c r="K9" s="12">
        <v>76.057438274999996</v>
      </c>
      <c r="L9">
        <v>300</v>
      </c>
      <c r="M9">
        <v>0.26</v>
      </c>
      <c r="N9" t="s">
        <v>41</v>
      </c>
    </row>
    <row r="10" spans="1:21" x14ac:dyDescent="0.2">
      <c r="A10" t="s">
        <v>39</v>
      </c>
      <c r="B10" s="3">
        <v>650932056</v>
      </c>
      <c r="C10" t="s">
        <v>69</v>
      </c>
      <c r="D10">
        <v>40.53</v>
      </c>
      <c r="E10">
        <v>43.164450000000002</v>
      </c>
      <c r="F10">
        <v>1</v>
      </c>
      <c r="G10" t="s">
        <v>30</v>
      </c>
      <c r="H10">
        <v>0.13</v>
      </c>
      <c r="I10" s="12">
        <v>48.775828499999996</v>
      </c>
      <c r="J10">
        <v>0.05</v>
      </c>
      <c r="K10" s="12">
        <v>51.214619925000001</v>
      </c>
      <c r="L10">
        <v>100</v>
      </c>
      <c r="M10">
        <v>0.52</v>
      </c>
      <c r="N10" t="s">
        <v>41</v>
      </c>
      <c r="R10" s="14" t="s">
        <v>68</v>
      </c>
      <c r="S10" s="14"/>
      <c r="T10" s="14"/>
    </row>
    <row r="11" spans="1:21" x14ac:dyDescent="0.2">
      <c r="A11" t="s">
        <v>39</v>
      </c>
      <c r="B11" s="3">
        <v>650952435</v>
      </c>
      <c r="C11" t="s">
        <v>67</v>
      </c>
      <c r="D11">
        <v>51.52</v>
      </c>
      <c r="E11">
        <v>54.8688</v>
      </c>
      <c r="F11">
        <v>1</v>
      </c>
      <c r="G11" t="s">
        <v>30</v>
      </c>
      <c r="H11">
        <v>0.13</v>
      </c>
      <c r="I11" s="12">
        <v>62.001743999999995</v>
      </c>
      <c r="J11">
        <v>0.05</v>
      </c>
      <c r="K11" s="12">
        <v>65.101831199999992</v>
      </c>
      <c r="L11">
        <v>300</v>
      </c>
      <c r="M11">
        <v>0.22</v>
      </c>
      <c r="N11" t="s">
        <v>41</v>
      </c>
      <c r="R11" s="3" t="s">
        <v>66</v>
      </c>
      <c r="S11" s="3" t="s">
        <v>65</v>
      </c>
      <c r="T11" s="3" t="s">
        <v>64</v>
      </c>
    </row>
    <row r="12" spans="1:21" x14ac:dyDescent="0.2">
      <c r="A12" t="s">
        <v>39</v>
      </c>
      <c r="B12" s="3">
        <v>651201725</v>
      </c>
      <c r="C12" t="s">
        <v>63</v>
      </c>
      <c r="D12">
        <v>59.89</v>
      </c>
      <c r="E12">
        <v>63.782849999999996</v>
      </c>
      <c r="F12">
        <v>1</v>
      </c>
      <c r="G12" t="s">
        <v>30</v>
      </c>
      <c r="H12">
        <v>0.13</v>
      </c>
      <c r="I12" s="12">
        <v>72.074620499999995</v>
      </c>
      <c r="J12">
        <v>0.05</v>
      </c>
      <c r="K12" s="12">
        <v>75.678351524999997</v>
      </c>
      <c r="L12">
        <v>300</v>
      </c>
      <c r="M12">
        <v>0.26</v>
      </c>
      <c r="N12" t="s">
        <v>41</v>
      </c>
      <c r="R12" s="13">
        <f>AVERAGE(T2,S5,R8)</f>
        <v>0.24933333333333332</v>
      </c>
      <c r="S12" s="10">
        <f>AVERAGE(S2,S5,S8)</f>
        <v>0.17333333333333334</v>
      </c>
      <c r="T12" s="10">
        <f>AVERAGEA(U2,U5,U8)</f>
        <v>0.10333333333333333</v>
      </c>
    </row>
    <row r="13" spans="1:21" x14ac:dyDescent="0.2">
      <c r="A13" t="s">
        <v>39</v>
      </c>
      <c r="B13" s="3">
        <v>651254559</v>
      </c>
      <c r="C13" t="s">
        <v>62</v>
      </c>
      <c r="D13">
        <v>63.5</v>
      </c>
      <c r="E13">
        <v>67.627499999999998</v>
      </c>
      <c r="F13">
        <v>1</v>
      </c>
      <c r="G13" t="s">
        <v>30</v>
      </c>
      <c r="H13">
        <v>0.13</v>
      </c>
      <c r="I13" s="12">
        <v>76.419074999999992</v>
      </c>
      <c r="J13">
        <v>0.05</v>
      </c>
      <c r="K13" s="12">
        <v>80.240028749999993</v>
      </c>
      <c r="L13">
        <v>250</v>
      </c>
      <c r="M13">
        <v>0.33</v>
      </c>
      <c r="N13" t="s">
        <v>41</v>
      </c>
    </row>
    <row r="14" spans="1:21" x14ac:dyDescent="0.2">
      <c r="A14" t="s">
        <v>39</v>
      </c>
      <c r="B14" s="3">
        <v>651032815</v>
      </c>
      <c r="C14" t="s">
        <v>61</v>
      </c>
      <c r="D14">
        <v>67.58</v>
      </c>
      <c r="E14">
        <v>71.972699999999989</v>
      </c>
      <c r="F14">
        <v>1</v>
      </c>
      <c r="G14" t="s">
        <v>30</v>
      </c>
      <c r="H14">
        <v>0.13</v>
      </c>
      <c r="I14" s="12">
        <v>81.329150999999982</v>
      </c>
      <c r="J14">
        <v>0.05</v>
      </c>
      <c r="K14" s="12">
        <v>85.395608549999992</v>
      </c>
      <c r="L14">
        <v>85</v>
      </c>
      <c r="M14">
        <v>1.01</v>
      </c>
      <c r="N14" t="s">
        <v>41</v>
      </c>
    </row>
    <row r="15" spans="1:21" x14ac:dyDescent="0.2">
      <c r="A15" t="s">
        <v>39</v>
      </c>
      <c r="B15" s="3">
        <v>640118600</v>
      </c>
      <c r="C15" t="s">
        <v>60</v>
      </c>
      <c r="D15">
        <v>55.59</v>
      </c>
      <c r="E15">
        <v>59.20335</v>
      </c>
      <c r="F15">
        <v>1</v>
      </c>
      <c r="G15" t="s">
        <v>30</v>
      </c>
      <c r="H15">
        <v>0.13</v>
      </c>
      <c r="I15" s="12">
        <v>66.899785499999993</v>
      </c>
      <c r="J15">
        <v>0.05</v>
      </c>
      <c r="K15" s="12">
        <v>70.244774774999996</v>
      </c>
      <c r="L15">
        <v>230</v>
      </c>
      <c r="M15">
        <v>0.31</v>
      </c>
      <c r="N15" t="s">
        <v>41</v>
      </c>
    </row>
    <row r="16" spans="1:21" x14ac:dyDescent="0.2">
      <c r="A16" t="s">
        <v>36</v>
      </c>
      <c r="B16" s="3" t="s">
        <v>59</v>
      </c>
      <c r="C16" t="s">
        <v>58</v>
      </c>
      <c r="D16">
        <v>31.4</v>
      </c>
      <c r="E16">
        <v>33.440999999999995</v>
      </c>
      <c r="F16">
        <v>1</v>
      </c>
      <c r="G16" t="s">
        <v>33</v>
      </c>
      <c r="H16">
        <v>0.13</v>
      </c>
      <c r="I16" s="12">
        <v>37.788329999999988</v>
      </c>
      <c r="J16">
        <v>0.05</v>
      </c>
      <c r="K16" s="12">
        <v>39.677746499999991</v>
      </c>
      <c r="L16">
        <v>350</v>
      </c>
      <c r="M16">
        <v>0.12</v>
      </c>
      <c r="N16" t="s">
        <v>41</v>
      </c>
    </row>
    <row r="17" spans="1:14" x14ac:dyDescent="0.2">
      <c r="A17" t="s">
        <v>36</v>
      </c>
      <c r="B17" s="3" t="s">
        <v>57</v>
      </c>
      <c r="C17" t="s">
        <v>56</v>
      </c>
      <c r="D17">
        <v>57.74</v>
      </c>
      <c r="E17">
        <v>61.493099999999998</v>
      </c>
      <c r="F17">
        <v>1</v>
      </c>
      <c r="G17" t="s">
        <v>33</v>
      </c>
      <c r="H17">
        <v>0.13</v>
      </c>
      <c r="I17" s="12">
        <v>69.487202999999994</v>
      </c>
      <c r="J17">
        <v>0.05</v>
      </c>
      <c r="K17" s="12">
        <v>72.961563150000003</v>
      </c>
      <c r="L17">
        <v>350</v>
      </c>
      <c r="M17">
        <v>0.21000000000000002</v>
      </c>
      <c r="N17" t="s">
        <v>41</v>
      </c>
    </row>
    <row r="18" spans="1:14" x14ac:dyDescent="0.2">
      <c r="A18" t="s">
        <v>36</v>
      </c>
      <c r="B18" s="3" t="s">
        <v>55</v>
      </c>
      <c r="C18" t="s">
        <v>54</v>
      </c>
      <c r="D18">
        <v>62.39</v>
      </c>
      <c r="E18">
        <v>66.445349999999991</v>
      </c>
      <c r="F18">
        <v>1</v>
      </c>
      <c r="G18" t="s">
        <v>33</v>
      </c>
      <c r="H18">
        <v>0.13</v>
      </c>
      <c r="I18" s="12">
        <v>75.083245499999975</v>
      </c>
      <c r="J18">
        <v>0.05</v>
      </c>
      <c r="K18" s="12">
        <v>78.837407774999974</v>
      </c>
      <c r="L18">
        <v>400</v>
      </c>
      <c r="M18">
        <v>0.2</v>
      </c>
      <c r="N18" t="s">
        <v>41</v>
      </c>
    </row>
    <row r="19" spans="1:14" x14ac:dyDescent="0.2">
      <c r="A19" t="s">
        <v>36</v>
      </c>
      <c r="B19" s="3" t="s">
        <v>53</v>
      </c>
      <c r="C19" t="s">
        <v>52</v>
      </c>
      <c r="D19">
        <v>65.989999999999995</v>
      </c>
      <c r="E19">
        <v>70.279349999999994</v>
      </c>
      <c r="F19">
        <v>1</v>
      </c>
      <c r="G19" t="s">
        <v>33</v>
      </c>
      <c r="H19">
        <v>0.13</v>
      </c>
      <c r="I19" s="12">
        <v>79.415665499999989</v>
      </c>
      <c r="J19">
        <v>0.05</v>
      </c>
      <c r="K19" s="12">
        <v>83.386448774999991</v>
      </c>
      <c r="L19">
        <v>400</v>
      </c>
      <c r="M19">
        <v>0.21000000000000002</v>
      </c>
      <c r="N19" t="s">
        <v>41</v>
      </c>
    </row>
    <row r="20" spans="1:14" x14ac:dyDescent="0.2">
      <c r="A20" t="s">
        <v>36</v>
      </c>
      <c r="B20" s="3" t="s">
        <v>51</v>
      </c>
      <c r="C20" t="s">
        <v>50</v>
      </c>
      <c r="D20">
        <v>83.59</v>
      </c>
      <c r="E20">
        <v>89.023349999999994</v>
      </c>
      <c r="F20">
        <v>1</v>
      </c>
      <c r="G20" t="s">
        <v>33</v>
      </c>
      <c r="H20">
        <v>0.13</v>
      </c>
      <c r="I20" s="12">
        <v>100.59638549999998</v>
      </c>
      <c r="J20">
        <v>0.05</v>
      </c>
      <c r="K20" s="12">
        <v>105.62620477499999</v>
      </c>
      <c r="L20">
        <v>250</v>
      </c>
      <c r="M20">
        <v>0.43</v>
      </c>
      <c r="N20" t="s">
        <v>41</v>
      </c>
    </row>
    <row r="21" spans="1:14" x14ac:dyDescent="0.2">
      <c r="A21" t="s">
        <v>36</v>
      </c>
      <c r="B21" s="3" t="s">
        <v>49</v>
      </c>
      <c r="C21" t="s">
        <v>48</v>
      </c>
      <c r="D21">
        <v>63.79</v>
      </c>
      <c r="E21">
        <v>67.93634999999999</v>
      </c>
      <c r="F21">
        <v>1</v>
      </c>
      <c r="G21" t="s">
        <v>33</v>
      </c>
      <c r="H21">
        <v>0.13</v>
      </c>
      <c r="I21" s="12">
        <v>76.768075499999981</v>
      </c>
      <c r="J21">
        <v>0.05</v>
      </c>
      <c r="K21" s="12">
        <v>80.606479274999984</v>
      </c>
      <c r="L21">
        <v>300</v>
      </c>
      <c r="M21">
        <v>0.27</v>
      </c>
      <c r="N21" t="s">
        <v>41</v>
      </c>
    </row>
    <row r="22" spans="1:14" x14ac:dyDescent="0.2">
      <c r="A22" t="s">
        <v>36</v>
      </c>
      <c r="B22" s="3" t="s">
        <v>47</v>
      </c>
      <c r="C22" t="s">
        <v>46</v>
      </c>
      <c r="D22">
        <v>91.29</v>
      </c>
      <c r="E22">
        <v>97.223849999999999</v>
      </c>
      <c r="F22">
        <v>1</v>
      </c>
      <c r="G22" t="s">
        <v>33</v>
      </c>
      <c r="H22">
        <v>0.13</v>
      </c>
      <c r="I22" s="12">
        <v>109.86295049999998</v>
      </c>
      <c r="J22">
        <v>0.05</v>
      </c>
      <c r="K22" s="12">
        <v>115.35609802499998</v>
      </c>
      <c r="L22">
        <v>250</v>
      </c>
      <c r="M22">
        <v>0.47000000000000003</v>
      </c>
      <c r="N22" t="s">
        <v>41</v>
      </c>
    </row>
    <row r="23" spans="1:14" x14ac:dyDescent="0.2">
      <c r="A23" t="s">
        <v>36</v>
      </c>
      <c r="B23" s="3" t="s">
        <v>45</v>
      </c>
      <c r="C23" t="s">
        <v>44</v>
      </c>
      <c r="D23">
        <v>71.489999999999995</v>
      </c>
      <c r="E23">
        <v>76.136849999999995</v>
      </c>
      <c r="F23">
        <v>1</v>
      </c>
      <c r="G23" t="s">
        <v>33</v>
      </c>
      <c r="H23">
        <v>0.13</v>
      </c>
      <c r="I23" s="12">
        <v>86.034640499999981</v>
      </c>
      <c r="J23">
        <v>0.05</v>
      </c>
      <c r="K23" s="12">
        <v>90.336372524999987</v>
      </c>
      <c r="L23">
        <v>350</v>
      </c>
      <c r="M23">
        <v>0.26</v>
      </c>
      <c r="N23" t="s">
        <v>41</v>
      </c>
    </row>
    <row r="24" spans="1:14" x14ac:dyDescent="0.2">
      <c r="A24" t="s">
        <v>36</v>
      </c>
      <c r="B24" s="3" t="s">
        <v>43</v>
      </c>
      <c r="C24" t="s">
        <v>42</v>
      </c>
      <c r="D24">
        <v>74.790000000000006</v>
      </c>
      <c r="E24">
        <v>79.651350000000008</v>
      </c>
      <c r="F24">
        <v>1</v>
      </c>
      <c r="G24" t="s">
        <v>33</v>
      </c>
      <c r="H24">
        <v>0.13</v>
      </c>
      <c r="I24" s="12">
        <v>90.006025500000007</v>
      </c>
      <c r="J24">
        <v>0.05</v>
      </c>
      <c r="K24" s="12">
        <v>94.506326775000005</v>
      </c>
      <c r="L24">
        <v>300</v>
      </c>
      <c r="M24">
        <v>0.32</v>
      </c>
      <c r="N24" t="s">
        <v>41</v>
      </c>
    </row>
    <row r="25" spans="1:14" x14ac:dyDescent="0.2">
      <c r="A25" t="s">
        <v>39</v>
      </c>
      <c r="B25" s="3">
        <v>651252579</v>
      </c>
      <c r="C25" t="s">
        <v>40</v>
      </c>
      <c r="D25">
        <v>17</v>
      </c>
      <c r="E25">
        <v>18.105</v>
      </c>
      <c r="F25">
        <v>1</v>
      </c>
      <c r="G25" t="s">
        <v>30</v>
      </c>
      <c r="H25">
        <v>0.13</v>
      </c>
      <c r="I25" s="12">
        <v>20.458649999999999</v>
      </c>
      <c r="J25">
        <v>0.05</v>
      </c>
      <c r="K25" s="12">
        <v>21.481582499999998</v>
      </c>
      <c r="L25">
        <v>350</v>
      </c>
      <c r="M25">
        <v>6.9999999999999993E-2</v>
      </c>
      <c r="N25" t="s">
        <v>29</v>
      </c>
    </row>
    <row r="26" spans="1:14" x14ac:dyDescent="0.2">
      <c r="A26" t="s">
        <v>39</v>
      </c>
      <c r="B26" s="3">
        <v>650259195</v>
      </c>
      <c r="C26" t="s">
        <v>38</v>
      </c>
      <c r="D26">
        <v>22.67</v>
      </c>
      <c r="E26">
        <v>24.143550000000001</v>
      </c>
      <c r="F26">
        <v>1</v>
      </c>
      <c r="G26" t="s">
        <v>30</v>
      </c>
      <c r="H26">
        <v>0.13</v>
      </c>
      <c r="I26" s="12">
        <v>27.282211499999999</v>
      </c>
      <c r="J26">
        <v>0.05</v>
      </c>
      <c r="K26" s="12">
        <v>28.646322075</v>
      </c>
      <c r="L26">
        <v>350</v>
      </c>
      <c r="M26">
        <v>0.09</v>
      </c>
      <c r="N26" t="s">
        <v>29</v>
      </c>
    </row>
    <row r="27" spans="1:14" x14ac:dyDescent="0.2">
      <c r="A27" t="s">
        <v>36</v>
      </c>
      <c r="B27" s="3" t="s">
        <v>37</v>
      </c>
      <c r="C27" t="s">
        <v>104</v>
      </c>
      <c r="D27">
        <v>23.09</v>
      </c>
      <c r="E27">
        <v>24.59085</v>
      </c>
      <c r="F27">
        <v>1</v>
      </c>
      <c r="G27" t="s">
        <v>33</v>
      </c>
      <c r="H27">
        <v>0.13</v>
      </c>
      <c r="I27" s="12">
        <v>27.787660499999998</v>
      </c>
      <c r="J27">
        <v>0.05</v>
      </c>
      <c r="K27" s="12">
        <v>29.177043524999998</v>
      </c>
      <c r="L27">
        <v>400</v>
      </c>
      <c r="M27">
        <v>0.08</v>
      </c>
      <c r="N27" t="s">
        <v>29</v>
      </c>
    </row>
    <row r="28" spans="1:14" x14ac:dyDescent="0.2">
      <c r="A28" t="s">
        <v>36</v>
      </c>
      <c r="B28" s="3" t="s">
        <v>35</v>
      </c>
      <c r="C28" t="s">
        <v>34</v>
      </c>
      <c r="D28">
        <v>56.09</v>
      </c>
      <c r="E28">
        <v>59.735849999999999</v>
      </c>
      <c r="F28">
        <v>1</v>
      </c>
      <c r="G28" t="s">
        <v>33</v>
      </c>
      <c r="H28">
        <v>0.13</v>
      </c>
      <c r="I28" s="12">
        <v>67.501510499999995</v>
      </c>
      <c r="J28">
        <v>0.05</v>
      </c>
      <c r="K28" s="12">
        <v>70.876586024999995</v>
      </c>
      <c r="L28">
        <v>300</v>
      </c>
      <c r="M28">
        <v>0.24000000000000002</v>
      </c>
      <c r="N28" t="s">
        <v>29</v>
      </c>
    </row>
    <row r="29" spans="1:14" x14ac:dyDescent="0.2">
      <c r="A29" t="s">
        <v>32</v>
      </c>
      <c r="C29" t="s">
        <v>31</v>
      </c>
      <c r="D29">
        <v>98</v>
      </c>
      <c r="E29">
        <v>104.36999999999999</v>
      </c>
      <c r="F29">
        <v>1</v>
      </c>
      <c r="G29" t="s">
        <v>30</v>
      </c>
      <c r="H29">
        <v>0.13</v>
      </c>
      <c r="I29" s="12">
        <v>117.93809999999998</v>
      </c>
      <c r="J29">
        <v>0.05</v>
      </c>
      <c r="K29" s="12">
        <v>123.83500499999998</v>
      </c>
      <c r="L29">
        <v>350</v>
      </c>
      <c r="M29">
        <v>0.36</v>
      </c>
      <c r="N29" t="s">
        <v>29</v>
      </c>
    </row>
    <row r="30" spans="1:14" x14ac:dyDescent="0.2">
      <c r="I30" s="12"/>
      <c r="M30" s="10"/>
    </row>
    <row r="31" spans="1:14" x14ac:dyDescent="0.2">
      <c r="I31" s="12"/>
    </row>
  </sheetData>
  <mergeCells count="1">
    <mergeCell ref="R10:T10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5530-8D7C-D34D-8BEE-8E8825E8BD7B}">
  <dimension ref="B2:L22"/>
  <sheetViews>
    <sheetView tabSelected="1" workbookViewId="0">
      <selection activeCell="H2" sqref="H2:L4"/>
    </sheetView>
  </sheetViews>
  <sheetFormatPr baseColWidth="10" defaultColWidth="8.83203125" defaultRowHeight="15" x14ac:dyDescent="0.2"/>
  <cols>
    <col min="2" max="2" width="30.83203125" customWidth="1"/>
    <col min="3" max="3" width="11.33203125" bestFit="1" customWidth="1"/>
    <col min="6" max="6" width="21" bestFit="1" customWidth="1"/>
    <col min="8" max="8" width="42" customWidth="1"/>
    <col min="9" max="9" width="12.1640625" bestFit="1" customWidth="1"/>
    <col min="12" max="12" width="21" bestFit="1" customWidth="1"/>
  </cols>
  <sheetData>
    <row r="2" spans="2:12" x14ac:dyDescent="0.2">
      <c r="B2" s="1" t="s">
        <v>0</v>
      </c>
      <c r="C2" s="1" t="s">
        <v>1</v>
      </c>
      <c r="D2" t="s">
        <v>2</v>
      </c>
      <c r="E2" t="s">
        <v>3</v>
      </c>
      <c r="F2" t="s">
        <v>4</v>
      </c>
      <c r="H2" s="1" t="s">
        <v>5</v>
      </c>
      <c r="I2" s="1" t="s">
        <v>6</v>
      </c>
      <c r="J2" s="1" t="s">
        <v>2</v>
      </c>
      <c r="K2" s="1" t="s">
        <v>3</v>
      </c>
      <c r="L2" s="1" t="s">
        <v>7</v>
      </c>
    </row>
    <row r="3" spans="2:12" x14ac:dyDescent="0.2">
      <c r="B3" s="2" t="s">
        <v>8</v>
      </c>
      <c r="C3" s="3">
        <f>7*3*2</f>
        <v>42</v>
      </c>
      <c r="D3" s="4">
        <v>0.61</v>
      </c>
      <c r="E3">
        <v>0.22</v>
      </c>
      <c r="F3" s="5">
        <f>(C3*D3)+(E3*C3)</f>
        <v>34.86</v>
      </c>
      <c r="H3" s="2" t="s">
        <v>9</v>
      </c>
      <c r="I3">
        <f>0.67*1</f>
        <v>0.67</v>
      </c>
      <c r="J3" s="6">
        <v>1.5</v>
      </c>
      <c r="K3" s="4">
        <v>0.22</v>
      </c>
      <c r="L3" s="5">
        <f>(K3*I3)+(J3*I3)</f>
        <v>1.1524000000000001</v>
      </c>
    </row>
    <row r="4" spans="2:12" x14ac:dyDescent="0.2">
      <c r="B4" s="2" t="s">
        <v>10</v>
      </c>
      <c r="C4" s="3">
        <f>7*(3*1.5)*2</f>
        <v>63</v>
      </c>
      <c r="D4" s="4">
        <v>0.61</v>
      </c>
      <c r="E4">
        <v>0.22</v>
      </c>
      <c r="F4" s="5">
        <f t="shared" ref="F4:F11" si="0">(C4*D4)+(E4*C4)</f>
        <v>52.29</v>
      </c>
      <c r="H4" s="2" t="s">
        <v>11</v>
      </c>
      <c r="I4">
        <f>0.71*1</f>
        <v>0.71</v>
      </c>
      <c r="J4" s="6">
        <v>2.5</v>
      </c>
      <c r="K4" s="6">
        <v>0.22</v>
      </c>
      <c r="L4" s="5">
        <f>(K4*I4)+(J4*I4)</f>
        <v>1.9312</v>
      </c>
    </row>
    <row r="5" spans="2:12" x14ac:dyDescent="0.2">
      <c r="B5" s="2" t="s">
        <v>12</v>
      </c>
      <c r="C5" s="3">
        <f>6*7*2</f>
        <v>84</v>
      </c>
      <c r="D5" s="4">
        <v>0.61</v>
      </c>
      <c r="E5">
        <v>0.22</v>
      </c>
      <c r="F5" s="5">
        <f t="shared" si="0"/>
        <v>69.72</v>
      </c>
      <c r="H5" s="2"/>
    </row>
    <row r="6" spans="2:12" x14ac:dyDescent="0.2">
      <c r="B6" s="2" t="s">
        <v>13</v>
      </c>
      <c r="C6" s="3">
        <f>9*3*2</f>
        <v>54</v>
      </c>
      <c r="D6" s="4">
        <v>0.61</v>
      </c>
      <c r="E6">
        <v>0.22</v>
      </c>
      <c r="F6" s="5">
        <f t="shared" si="0"/>
        <v>44.82</v>
      </c>
      <c r="H6" s="2"/>
    </row>
    <row r="7" spans="2:12" x14ac:dyDescent="0.2">
      <c r="B7" s="2" t="s">
        <v>14</v>
      </c>
      <c r="C7" s="3">
        <f>9*(3*1.5)*2</f>
        <v>81</v>
      </c>
      <c r="D7" s="4">
        <v>0.61</v>
      </c>
      <c r="E7">
        <v>0.22</v>
      </c>
      <c r="F7" s="5">
        <f t="shared" si="0"/>
        <v>67.22999999999999</v>
      </c>
      <c r="H7" s="2"/>
    </row>
    <row r="8" spans="2:12" x14ac:dyDescent="0.2">
      <c r="B8" s="2" t="s">
        <v>15</v>
      </c>
      <c r="C8" s="3">
        <f>6*9*2</f>
        <v>108</v>
      </c>
      <c r="D8" s="4">
        <v>0.61</v>
      </c>
      <c r="E8">
        <v>0.22</v>
      </c>
      <c r="F8" s="5">
        <f t="shared" si="0"/>
        <v>89.64</v>
      </c>
      <c r="H8" s="2"/>
    </row>
    <row r="9" spans="2:12" x14ac:dyDescent="0.2">
      <c r="B9" s="2" t="s">
        <v>16</v>
      </c>
      <c r="C9" s="3">
        <f>7*3*2</f>
        <v>42</v>
      </c>
      <c r="D9" s="4">
        <v>1.3</v>
      </c>
      <c r="E9">
        <v>0.33</v>
      </c>
      <c r="F9" s="5">
        <f t="shared" si="0"/>
        <v>68.460000000000008</v>
      </c>
      <c r="H9" s="2"/>
    </row>
    <row r="10" spans="2:12" x14ac:dyDescent="0.2">
      <c r="B10" s="2" t="s">
        <v>17</v>
      </c>
      <c r="C10" s="3">
        <f>7*(3*1.5)*2</f>
        <v>63</v>
      </c>
      <c r="D10" s="4">
        <v>1.3</v>
      </c>
      <c r="E10">
        <v>0.33</v>
      </c>
      <c r="F10" s="5">
        <f t="shared" si="0"/>
        <v>102.69000000000001</v>
      </c>
      <c r="H10" s="2"/>
    </row>
    <row r="11" spans="2:12" x14ac:dyDescent="0.2">
      <c r="B11" s="2" t="s">
        <v>18</v>
      </c>
      <c r="C11" s="3">
        <f>6*7*2</f>
        <v>84</v>
      </c>
      <c r="D11" s="4">
        <v>1.3</v>
      </c>
      <c r="E11">
        <v>0.33</v>
      </c>
      <c r="F11" s="5">
        <f t="shared" si="0"/>
        <v>136.92000000000002</v>
      </c>
      <c r="H11" s="2"/>
    </row>
    <row r="18" spans="2:6" x14ac:dyDescent="0.2">
      <c r="D18" s="3"/>
      <c r="E18" s="3"/>
      <c r="F18" s="3"/>
    </row>
    <row r="19" spans="2:6" x14ac:dyDescent="0.2">
      <c r="B19" s="1"/>
      <c r="D19" s="4"/>
      <c r="E19" s="6"/>
      <c r="F19" s="3"/>
    </row>
    <row r="20" spans="2:6" x14ac:dyDescent="0.2">
      <c r="D20" s="4"/>
      <c r="E20" s="6"/>
      <c r="F20" s="3"/>
    </row>
    <row r="21" spans="2:6" x14ac:dyDescent="0.2">
      <c r="D21" s="4"/>
      <c r="E21" s="6"/>
      <c r="F21" s="3"/>
    </row>
    <row r="22" spans="2:6" x14ac:dyDescent="0.2">
      <c r="D22" s="6"/>
      <c r="E22" s="6"/>
      <c r="F22" s="3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59CB-C4A8-644F-9C31-AD9A1298F6D6}">
  <dimension ref="A2:D23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51" bestFit="1" customWidth="1"/>
    <col min="2" max="2" width="27.1640625" bestFit="1" customWidth="1"/>
    <col min="3" max="3" width="12.1640625" bestFit="1" customWidth="1"/>
    <col min="4" max="4" width="10" bestFit="1" customWidth="1"/>
  </cols>
  <sheetData>
    <row r="2" spans="1:4" x14ac:dyDescent="0.2">
      <c r="A2" s="7" t="s">
        <v>19</v>
      </c>
      <c r="B2" s="7"/>
      <c r="C2" s="7"/>
      <c r="D2" s="7"/>
    </row>
    <row r="3" spans="1:4" x14ac:dyDescent="0.2">
      <c r="A3" t="s">
        <v>20</v>
      </c>
      <c r="B3" t="s">
        <v>21</v>
      </c>
      <c r="C3" s="8" t="s">
        <v>22</v>
      </c>
      <c r="D3" s="8" t="s">
        <v>23</v>
      </c>
    </row>
    <row r="4" spans="1:4" x14ac:dyDescent="0.2">
      <c r="A4" s="9">
        <v>0</v>
      </c>
      <c r="B4" s="10">
        <v>0</v>
      </c>
      <c r="C4" s="10">
        <f>ROUNDUP('Pivot Finish wall'!B4,0)</f>
        <v>0</v>
      </c>
      <c r="D4" s="11">
        <f>IFERROR(C4*VLOOKUP('Pivot Finish wall'!A4,'Paint Unified'!$C$2:$K$29,9,FALSE),0)</f>
        <v>0</v>
      </c>
    </row>
    <row r="5" spans="1:4" x14ac:dyDescent="0.2">
      <c r="A5" s="9" t="s">
        <v>24</v>
      </c>
      <c r="B5" s="10">
        <v>0</v>
      </c>
      <c r="C5">
        <f>ROUNDUP('Pivot Finish wall'!B5,0)</f>
        <v>0</v>
      </c>
      <c r="D5" s="11">
        <f>IFERROR(C5*VLOOKUP('Pivot Finish wall'!A5,'Paint Unified'!$C$2:$K$29,9,FALSE),0)</f>
        <v>0</v>
      </c>
    </row>
    <row r="6" spans="1:4" x14ac:dyDescent="0.2">
      <c r="A6" s="9" t="s">
        <v>25</v>
      </c>
      <c r="B6" s="10">
        <v>6</v>
      </c>
      <c r="C6">
        <f>ROUNDUP('Pivot Finish wall'!B6,0)</f>
        <v>6</v>
      </c>
      <c r="D6" s="11">
        <f>IFERROR(C6*VLOOKUP('Pivot Finish wall'!A6,'Paint Unified'!$C$2:$K$29,9,FALSE),0)</f>
        <v>240.26518214999999</v>
      </c>
    </row>
    <row r="7" spans="1:4" x14ac:dyDescent="0.2">
      <c r="C7">
        <f>ROUNDUP('Pivot Finish wall'!B7,0)</f>
        <v>0</v>
      </c>
      <c r="D7" s="11">
        <f>IFERROR(C7*VLOOKUP('Pivot Finish wall'!A7,'Paint Unified'!$C$2:$K$29,9,FALSE),0)</f>
        <v>0</v>
      </c>
    </row>
    <row r="8" spans="1:4" x14ac:dyDescent="0.2">
      <c r="C8">
        <f>ROUNDUP('Pivot Finish wall'!B8,0)</f>
        <v>0</v>
      </c>
      <c r="D8" s="11">
        <f>IFERROR(C8*VLOOKUP('Pivot Finish wall'!A8,'Paint Unified'!$C$2:$K$29,9,FALSE),0)</f>
        <v>0</v>
      </c>
    </row>
    <row r="9" spans="1:4" x14ac:dyDescent="0.2">
      <c r="C9">
        <f>ROUNDUP('Pivot Finish wall'!B9,0)</f>
        <v>0</v>
      </c>
      <c r="D9" s="11">
        <f>IFERROR(C9*VLOOKUP('Pivot Finish wall'!A9,'Paint Unified'!$C$2:$K$29,9,FALSE),0)</f>
        <v>0</v>
      </c>
    </row>
    <row r="10" spans="1:4" x14ac:dyDescent="0.2">
      <c r="C10">
        <f>ROUNDUP('Pivot Finish wall'!B10,0)</f>
        <v>0</v>
      </c>
      <c r="D10" s="11">
        <f>IFERROR(C10*VLOOKUP('Pivot Finish wall'!A10,'Paint Unified'!$C$2:$K$29,9,FALSE),0)</f>
        <v>0</v>
      </c>
    </row>
    <row r="11" spans="1:4" x14ac:dyDescent="0.2">
      <c r="C11">
        <f>ROUNDUP('Pivot Finish wall'!B11,0)</f>
        <v>0</v>
      </c>
      <c r="D11" s="11">
        <f>IFERROR(C11*VLOOKUP('Pivot Finish wall'!A11,'Paint Unified'!$C$2:$K$29,9,FALSE),0)</f>
        <v>0</v>
      </c>
    </row>
    <row r="12" spans="1:4" x14ac:dyDescent="0.2">
      <c r="C12">
        <f>ROUNDUP([1]Calculations!C60,0)</f>
        <v>0</v>
      </c>
      <c r="D12" s="11">
        <f>IFERROR(C12*VLOOKUP([1]Calculations!B60,'Paint Unified'!$C$2:$K$29,9,FALSE),0)</f>
        <v>0</v>
      </c>
    </row>
    <row r="13" spans="1:4" x14ac:dyDescent="0.2">
      <c r="C13">
        <f>ROUNDUP([1]Calculations!C61,0)</f>
        <v>0</v>
      </c>
      <c r="D13" s="11">
        <f>IFERROR(C13*VLOOKUP([1]Calculations!B61,'Paint Unified'!$C$2:$K$29,9,FALSE),0)</f>
        <v>0</v>
      </c>
    </row>
    <row r="14" spans="1:4" x14ac:dyDescent="0.2">
      <c r="C14">
        <f>ROUNDUP([1]Calculations!C62,0)</f>
        <v>0</v>
      </c>
      <c r="D14" s="11">
        <f>IFERROR(C14*VLOOKUP([1]Calculations!B62,'Paint Unified'!$C$2:$K$29,9,FALSE),0)</f>
        <v>0</v>
      </c>
    </row>
    <row r="15" spans="1:4" x14ac:dyDescent="0.2">
      <c r="C15">
        <f>ROUNDUP([1]Calculations!C63,0)</f>
        <v>0</v>
      </c>
      <c r="D15" s="11">
        <f>IFERROR(C15*VLOOKUP([1]Calculations!B63,'Paint Unified'!$C$2:$K$29,9,FALSE),0)</f>
        <v>0</v>
      </c>
    </row>
    <row r="16" spans="1:4" x14ac:dyDescent="0.2">
      <c r="C16">
        <f>ROUNDUP([1]Calculations!C64,0)</f>
        <v>0</v>
      </c>
      <c r="D16" s="11">
        <f>IFERROR(C16*VLOOKUP([1]Calculations!B64,'Paint Unified'!$C$2:$K$29,9,FALSE),0)</f>
        <v>0</v>
      </c>
    </row>
    <row r="17" spans="3:4" x14ac:dyDescent="0.2">
      <c r="C17">
        <f>ROUNDUP([1]Calculations!C65,0)</f>
        <v>0</v>
      </c>
      <c r="D17" s="11">
        <f>IFERROR(C17*VLOOKUP([1]Calculations!B65,'Paint Unified'!$C$2:$K$29,9,FALSE),0)</f>
        <v>0</v>
      </c>
    </row>
    <row r="18" spans="3:4" x14ac:dyDescent="0.2">
      <c r="C18">
        <f>ROUNDUP([1]Calculations!C66,0)</f>
        <v>0</v>
      </c>
      <c r="D18" s="11">
        <f>IFERROR(C18*VLOOKUP([1]Calculations!B66,'Paint Unified'!$C$2:$K$29,9,FALSE),0)</f>
        <v>0</v>
      </c>
    </row>
    <row r="19" spans="3:4" x14ac:dyDescent="0.2">
      <c r="C19">
        <f>ROUNDUP([1]Calculations!C67,0)</f>
        <v>0</v>
      </c>
      <c r="D19" s="11">
        <f>IFERROR(C19*VLOOKUP([1]Calculations!B67,'Paint Unified'!$C$2:$K$29,9,FALSE),0)</f>
        <v>0</v>
      </c>
    </row>
    <row r="20" spans="3:4" x14ac:dyDescent="0.2">
      <c r="C20">
        <f>ROUNDUP([1]Calculations!C68,0)</f>
        <v>0</v>
      </c>
      <c r="D20" s="11">
        <f>IFERROR(C20*VLOOKUP([1]Calculations!B68,'Paint Unified'!$C$2:$K$29,9,FALSE),0)</f>
        <v>0</v>
      </c>
    </row>
    <row r="21" spans="3:4" x14ac:dyDescent="0.2">
      <c r="C21">
        <f>ROUNDUP([1]Calculations!C69,0)</f>
        <v>0</v>
      </c>
      <c r="D21" s="11">
        <f>IFERROR(C21*VLOOKUP([1]Calculations!B69,'Paint Unified'!$C$2:$K$29,9,FALSE),0)</f>
        <v>0</v>
      </c>
    </row>
    <row r="22" spans="3:4" x14ac:dyDescent="0.2">
      <c r="C22">
        <f>ROUNDUP([1]Calculations!C70,0)</f>
        <v>0</v>
      </c>
      <c r="D22" s="11">
        <f>IFERROR(C22*VLOOKUP([1]Calculations!B70,'Paint Unified'!$C$2:$K$29,9,FALSE),0)</f>
        <v>0</v>
      </c>
    </row>
    <row r="23" spans="3:4" x14ac:dyDescent="0.2">
      <c r="C23">
        <f>ROUNDUP([1]Calculations!C71,0)</f>
        <v>0</v>
      </c>
      <c r="D23" s="5">
        <f>IFERROR(C23*VLOOKUP([1]Calculations!B71,'Paint Unified'!$C$2:$K$29,9,FALSE),0)</f>
        <v>0</v>
      </c>
    </row>
  </sheetData>
  <mergeCells count="1">
    <mergeCell ref="A2:D2"/>
  </mergeCells>
  <pageMargins left="0.7" right="0.7" top="0.75" bottom="0.75" header="0.3" footer="0.3"/>
  <pageSetup orientation="portrait" horizontalDpi="360" verticalDpi="36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24F7-C255-8B48-A489-0066EFD5A7AE}">
  <dimension ref="A2:D23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31.5" bestFit="1" customWidth="1"/>
    <col min="2" max="2" width="26.1640625" bestFit="1" customWidth="1"/>
    <col min="3" max="3" width="12.1640625" bestFit="1" customWidth="1"/>
    <col min="4" max="4" width="10" bestFit="1" customWidth="1"/>
  </cols>
  <sheetData>
    <row r="2" spans="1:4" x14ac:dyDescent="0.2">
      <c r="A2" s="7" t="s">
        <v>26</v>
      </c>
      <c r="B2" s="7"/>
      <c r="C2" s="7"/>
      <c r="D2" s="7"/>
    </row>
    <row r="3" spans="1:4" x14ac:dyDescent="0.2">
      <c r="A3" t="s">
        <v>20</v>
      </c>
      <c r="B3" t="s">
        <v>27</v>
      </c>
      <c r="C3" s="8" t="s">
        <v>22</v>
      </c>
      <c r="D3" s="8" t="s">
        <v>23</v>
      </c>
    </row>
    <row r="4" spans="1:4" x14ac:dyDescent="0.2">
      <c r="A4" s="9">
        <v>0</v>
      </c>
      <c r="B4" s="10">
        <v>0</v>
      </c>
      <c r="C4">
        <f>ROUNDUP('Pivot Finish Ceiling'!B4,0)</f>
        <v>0</v>
      </c>
      <c r="D4" s="4">
        <f>IFERROR(C4*VLOOKUP('Pivot Finish Ceiling'!A4,'Paint Unified'!$C$2:$K$29,9,FALSE),0)</f>
        <v>0</v>
      </c>
    </row>
    <row r="5" spans="1:4" x14ac:dyDescent="0.2">
      <c r="A5" s="9" t="s">
        <v>28</v>
      </c>
      <c r="B5" s="10">
        <v>0</v>
      </c>
      <c r="C5">
        <f>ROUNDUP('Pivot Finish Ceiling'!B5,0)</f>
        <v>0</v>
      </c>
      <c r="D5" s="4">
        <f>IFERROR(C5*VLOOKUP('Pivot Finish Ceiling'!A5,'Paint Unified'!$C$2:$K$29,9,FALSE),0)</f>
        <v>0</v>
      </c>
    </row>
    <row r="6" spans="1:4" x14ac:dyDescent="0.2">
      <c r="C6">
        <f>ROUNDUP([1]Calculations!I54,0)</f>
        <v>0</v>
      </c>
      <c r="D6" s="4">
        <f>IFERROR(C6*VLOOKUP([1]Calculations!H54,'Paint Unified'!$C$2:$K$29,9,FALSE),0)</f>
        <v>0</v>
      </c>
    </row>
    <row r="7" spans="1:4" x14ac:dyDescent="0.2">
      <c r="C7">
        <f>ROUNDUP([1]Calculations!I55,0)</f>
        <v>0</v>
      </c>
      <c r="D7" s="4">
        <f>IFERROR(C7*VLOOKUP([1]Calculations!H55,'Paint Unified'!$C$2:$K$29,9,FALSE),0)</f>
        <v>0</v>
      </c>
    </row>
    <row r="8" spans="1:4" x14ac:dyDescent="0.2">
      <c r="C8">
        <f>ROUNDUP([1]Calculations!I56,0)</f>
        <v>0</v>
      </c>
      <c r="D8" s="4">
        <f>IFERROR(C8*VLOOKUP([1]Calculations!H56,'Paint Unified'!$C$2:$K$29,9,FALSE),0)</f>
        <v>0</v>
      </c>
    </row>
    <row r="9" spans="1:4" x14ac:dyDescent="0.2">
      <c r="C9">
        <f>ROUNDUP([1]Calculations!I57,0)</f>
        <v>0</v>
      </c>
      <c r="D9" s="4">
        <f>IFERROR(C9*VLOOKUP([1]Calculations!H57,'Paint Unified'!$C$2:$K$29,9,FALSE),0)</f>
        <v>0</v>
      </c>
    </row>
    <row r="10" spans="1:4" x14ac:dyDescent="0.2">
      <c r="C10">
        <f>ROUNDUP([1]Calculations!I58,0)</f>
        <v>0</v>
      </c>
      <c r="D10" s="4">
        <f>IFERROR(C10*VLOOKUP([1]Calculations!H58,'Paint Unified'!$C$2:$K$29,9,FALSE),0)</f>
        <v>0</v>
      </c>
    </row>
    <row r="11" spans="1:4" x14ac:dyDescent="0.2">
      <c r="C11">
        <f>ROUNDUP([1]Calculations!I59,0)</f>
        <v>0</v>
      </c>
      <c r="D11" s="4">
        <f>IFERROR(C11*VLOOKUP([1]Calculations!H59,'Paint Unified'!$C$2:$K$29,9,FALSE),0)</f>
        <v>0</v>
      </c>
    </row>
    <row r="12" spans="1:4" x14ac:dyDescent="0.2">
      <c r="C12">
        <f>ROUNDUP([1]Calculations!I60,0)</f>
        <v>0</v>
      </c>
      <c r="D12" s="4">
        <f>IFERROR(C12*VLOOKUP([1]Calculations!H60,'Paint Unified'!$C$2:$K$29,9,FALSE),0)</f>
        <v>0</v>
      </c>
    </row>
    <row r="13" spans="1:4" x14ac:dyDescent="0.2">
      <c r="C13">
        <f>ROUNDUP([1]Calculations!I61,0)</f>
        <v>0</v>
      </c>
      <c r="D13" s="4">
        <f>IFERROR(C13*VLOOKUP([1]Calculations!H61,'Paint Unified'!$C$2:$K$29,9,FALSE),0)</f>
        <v>0</v>
      </c>
    </row>
    <row r="14" spans="1:4" x14ac:dyDescent="0.2">
      <c r="C14">
        <f>ROUNDUP([1]Calculations!I62,0)</f>
        <v>0</v>
      </c>
      <c r="D14" s="4">
        <f>IFERROR(C14*VLOOKUP([1]Calculations!H62,'Paint Unified'!$C$2:$K$29,9,FALSE),0)</f>
        <v>0</v>
      </c>
    </row>
    <row r="15" spans="1:4" x14ac:dyDescent="0.2">
      <c r="C15">
        <f>ROUNDUP([1]Calculations!I63,0)</f>
        <v>0</v>
      </c>
      <c r="D15" s="4">
        <f>IFERROR(C15*VLOOKUP([1]Calculations!H63,'Paint Unified'!$C$2:$K$29,9,FALSE),0)</f>
        <v>0</v>
      </c>
    </row>
    <row r="16" spans="1:4" x14ac:dyDescent="0.2">
      <c r="C16">
        <f>ROUNDUP([1]Calculations!I64,0)</f>
        <v>0</v>
      </c>
      <c r="D16" s="4">
        <f>IFERROR(C16*VLOOKUP([1]Calculations!H64,'Paint Unified'!$C$2:$K$29,9,FALSE),0)</f>
        <v>0</v>
      </c>
    </row>
    <row r="17" spans="3:4" x14ac:dyDescent="0.2">
      <c r="C17">
        <f>ROUNDUP([1]Calculations!I65,0)</f>
        <v>0</v>
      </c>
      <c r="D17" s="4">
        <f>IFERROR(C17*VLOOKUP([1]Calculations!H65,'Paint Unified'!$C$2:$K$29,9,FALSE),0)</f>
        <v>0</v>
      </c>
    </row>
    <row r="18" spans="3:4" x14ac:dyDescent="0.2">
      <c r="C18">
        <f>ROUNDUP([1]Calculations!I66,0)</f>
        <v>0</v>
      </c>
      <c r="D18" s="4">
        <f>IFERROR(C18*VLOOKUP([1]Calculations!H66,'Paint Unified'!$C$2:$K$29,9,FALSE),0)</f>
        <v>0</v>
      </c>
    </row>
    <row r="19" spans="3:4" x14ac:dyDescent="0.2">
      <c r="C19">
        <f>ROUNDUP([1]Calculations!I67,0)</f>
        <v>0</v>
      </c>
      <c r="D19" s="4">
        <f>IFERROR(C19*VLOOKUP([1]Calculations!H67,'Paint Unified'!$C$2:$K$29,9,FALSE),0)</f>
        <v>0</v>
      </c>
    </row>
    <row r="20" spans="3:4" x14ac:dyDescent="0.2">
      <c r="C20">
        <f>ROUNDUP([1]Calculations!I68,0)</f>
        <v>0</v>
      </c>
      <c r="D20" s="4">
        <f>IFERROR(C20*VLOOKUP([1]Calculations!H68,'Paint Unified'!$C$2:$K$29,9,FALSE),0)</f>
        <v>0</v>
      </c>
    </row>
    <row r="21" spans="3:4" x14ac:dyDescent="0.2">
      <c r="C21">
        <f>ROUNDUP([1]Calculations!I69,0)</f>
        <v>0</v>
      </c>
      <c r="D21" s="4">
        <f>IFERROR(C21*VLOOKUP([1]Calculations!H69,'Paint Unified'!$C$2:$K$29,9,FALSE),0)</f>
        <v>0</v>
      </c>
    </row>
    <row r="22" spans="3:4" x14ac:dyDescent="0.2">
      <c r="C22">
        <f>ROUNDUP([1]Calculations!I70,0)</f>
        <v>0</v>
      </c>
      <c r="D22" s="4">
        <f>IFERROR(C22*VLOOKUP([1]Calculations!H70,'Paint Unified'!$C$2:$K$29,9,FALSE),0)</f>
        <v>0</v>
      </c>
    </row>
    <row r="23" spans="3:4" x14ac:dyDescent="0.2">
      <c r="C23">
        <f>ROUNDUP([1]Calculations!I71,0)</f>
        <v>0</v>
      </c>
      <c r="D23" s="4">
        <f>IFERROR(C23*VLOOKUP([1]Calculations!H71,'Paint Unified'!$C$2:$K$29,9,FALSE),0)</f>
        <v>0</v>
      </c>
    </row>
  </sheetData>
  <mergeCells count="1">
    <mergeCell ref="A2:D2"/>
  </mergeCells>
  <pageMargins left="0.7" right="0.7" top="0.75" bottom="0.75" header="0.3" footer="0.3"/>
  <pageSetup orientation="portrait" horizontalDpi="360" verticalDpi="36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6B3683-9A9C-964E-B8A4-9CF1E23B82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Paint Unified</vt:lpstr>
      <vt:lpstr>Doors and accesories</vt:lpstr>
      <vt:lpstr>Pivot Finish wall</vt:lpstr>
      <vt:lpstr>Pivot Finish Ceiling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Burcher</dc:creator>
  <cp:lastModifiedBy>Kiara Burcher</cp:lastModifiedBy>
  <dcterms:created xsi:type="dcterms:W3CDTF">2025-10-19T17:24:29Z</dcterms:created>
  <dcterms:modified xsi:type="dcterms:W3CDTF">2025-10-19T22:04:13Z</dcterms:modified>
</cp:coreProperties>
</file>