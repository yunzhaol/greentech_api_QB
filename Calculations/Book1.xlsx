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elia/Desktop/"/>
    </mc:Choice>
  </mc:AlternateContent>
  <xr:revisionPtr revIDLastSave="0" documentId="13_ncr:1_{EABC9E77-3EA8-2140-BA5F-7BD42568FDF5}" xr6:coauthVersionLast="47" xr6:coauthVersionMax="47" xr10:uidLastSave="{00000000-0000-0000-0000-000000000000}"/>
  <bookViews>
    <workbookView xWindow="4220" yWindow="500" windowWidth="28800" windowHeight="16820" activeTab="1" xr2:uid="{9322F552-2F38-1440-BF75-B819B8DC134A}"/>
  </bookViews>
  <sheets>
    <sheet name="customer" sheetId="12" r:id="rId1"/>
    <sheet name="python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3" l="1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E31" i="13"/>
  <c r="E29" i="13"/>
  <c r="E27" i="13"/>
  <c r="E25" i="13"/>
  <c r="E23" i="13"/>
  <c r="E21" i="13"/>
  <c r="E19" i="13"/>
  <c r="E17" i="13"/>
  <c r="E15" i="13"/>
  <c r="E13" i="13"/>
  <c r="E11" i="13"/>
  <c r="E9" i="13"/>
  <c r="E7" i="13"/>
  <c r="E5" i="13"/>
  <c r="E3" i="13"/>
  <c r="H7" i="13" l="1"/>
  <c r="H6" i="13"/>
  <c r="C8" i="13"/>
  <c r="C9" i="13"/>
  <c r="C7" i="13"/>
  <c r="C6" i="13"/>
  <c r="C17" i="13"/>
  <c r="C16" i="13"/>
  <c r="C15" i="13"/>
  <c r="C14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3" i="13"/>
  <c r="C12" i="13"/>
  <c r="C11" i="13"/>
  <c r="C10" i="13"/>
  <c r="C5" i="13"/>
  <c r="C4" i="13"/>
  <c r="C3" i="13"/>
  <c r="C2" i="13"/>
  <c r="G7" i="13"/>
  <c r="G6" i="13"/>
  <c r="F6" i="13"/>
  <c r="F5" i="13"/>
  <c r="H5" i="13"/>
  <c r="H4" i="13"/>
  <c r="H3" i="13"/>
  <c r="G5" i="13"/>
  <c r="G4" i="13"/>
  <c r="F4" i="13"/>
  <c r="H2" i="13"/>
  <c r="G3" i="13"/>
  <c r="G2" i="13"/>
  <c r="F3" i="13"/>
  <c r="F2" i="13"/>
  <c r="A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0BF54B-905E-3543-AC94-F815238AB421}" keepAlive="1" interval="30" name="Query - Paint Unified" description="Connection to the 'Paint Unified' query in the workbook." type="5" refreshedVersion="8" background="1" refreshOnLoad="1" saveData="1">
    <dbPr connection="Provider=Microsoft.Mashup.OleDb.1;Data Source=$Workbook$;Location=&quot;Paint Unified&quot;;Extended Properties=&quot;&quot;" command="SELECT * FROM [Paint Unified]"/>
  </connection>
</connections>
</file>

<file path=xl/sharedStrings.xml><?xml version="1.0" encoding="utf-8"?>
<sst xmlns="http://schemas.openxmlformats.org/spreadsheetml/2006/main" count="121" uniqueCount="70">
  <si>
    <t>customer_name</t>
  </si>
  <si>
    <t>coats</t>
  </si>
  <si>
    <t>Ceiling</t>
  </si>
  <si>
    <t>Finish</t>
  </si>
  <si>
    <t>Primer</t>
  </si>
  <si>
    <t>One and a half wood door</t>
  </si>
  <si>
    <t>Bi-fold wood door</t>
  </si>
  <si>
    <t>Single Metal man door</t>
  </si>
  <si>
    <t>Baseboard</t>
  </si>
  <si>
    <t>Crownmolding</t>
  </si>
  <si>
    <t>Name:</t>
  </si>
  <si>
    <t>Address:</t>
  </si>
  <si>
    <t>Phone:</t>
  </si>
  <si>
    <t>email:</t>
  </si>
  <si>
    <t>Date:</t>
  </si>
  <si>
    <t>Area</t>
  </si>
  <si>
    <t>Area dimensions</t>
  </si>
  <si>
    <t>With (Ft)</t>
  </si>
  <si>
    <t>Depth (Ft)</t>
  </si>
  <si>
    <t>Height (ft)</t>
  </si>
  <si>
    <t>Doors and accesories (Labor and paint)</t>
  </si>
  <si>
    <t>Doors</t>
  </si>
  <si>
    <t>QTY</t>
  </si>
  <si>
    <t>Accessories</t>
  </si>
  <si>
    <t>Ft</t>
  </si>
  <si>
    <t>Number</t>
  </si>
  <si>
    <t>Tax:</t>
  </si>
  <si>
    <t>Area_Name</t>
  </si>
  <si>
    <t>Sub_service</t>
  </si>
  <si>
    <t>Walls</t>
  </si>
  <si>
    <t>Depth</t>
  </si>
  <si>
    <t>Height</t>
  </si>
  <si>
    <t>Total_Area</t>
  </si>
  <si>
    <t>special_labor</t>
  </si>
  <si>
    <t>Hr_special_labor</t>
  </si>
  <si>
    <t>Finish_type</t>
  </si>
  <si>
    <t>Primer_coats</t>
  </si>
  <si>
    <t>Finish_coat</t>
  </si>
  <si>
    <t>gallon</t>
  </si>
  <si>
    <t>discount</t>
  </si>
  <si>
    <t>Baseboard_length</t>
  </si>
  <si>
    <t>Width</t>
  </si>
  <si>
    <t>tax</t>
  </si>
  <si>
    <t>room_number</t>
  </si>
  <si>
    <t>Door</t>
  </si>
  <si>
    <t>No</t>
  </si>
  <si>
    <t>Yes</t>
  </si>
  <si>
    <t>Closet</t>
  </si>
  <si>
    <t>Foyer</t>
  </si>
  <si>
    <t>Bedroom</t>
  </si>
  <si>
    <t>service_result</t>
  </si>
  <si>
    <t>Quote number:</t>
  </si>
  <si>
    <t>GREENTECH PAINTING INC</t>
  </si>
  <si>
    <t>1243 Royal York Rd</t>
  </si>
  <si>
    <t>London ON  N6H 4A1</t>
  </si>
  <si>
    <t>customerservice@greentechpainting.com</t>
  </si>
  <si>
    <t>www.greentechpainting.com</t>
  </si>
  <si>
    <t>ESTIMATE</t>
  </si>
  <si>
    <t>Project Type</t>
  </si>
  <si>
    <t>Coat</t>
  </si>
  <si>
    <t>Together, let’s make a positive impact on the world, one paint job at a time.</t>
  </si>
  <si>
    <t>Internal Painting</t>
  </si>
  <si>
    <t>Service</t>
  </si>
  <si>
    <t>2</t>
  </si>
  <si>
    <t>4</t>
  </si>
  <si>
    <t>1</t>
  </si>
  <si>
    <t>Dinning room</t>
  </si>
  <si>
    <t>Standard</t>
  </si>
  <si>
    <t>Customer 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</si>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</sst>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sz val="72"/>
      <color rgb="FF000000"/>
      <name val="Calibri"/>
      <family val="2"/>
    </font>
    <font>
      <sz val="48"/>
      <color theme="4" tint="-0.249977111117893"/>
      <name val="Calibri"/>
      <family val="2"/>
    </font>
    <font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9" fontId="1" fillId="2" borderId="0" xfId="0" applyNumberFormat="1" applyFont="1" applyFill="1"/>
    <xf numFmtId="1" fontId="0" fillId="0" borderId="0" xfId="0" applyNumberFormat="1"/>
    <xf numFmtId="9" fontId="2" fillId="2" borderId="0" xfId="0" applyNumberFormat="1" applyFont="1" applyFill="1"/>
    <xf numFmtId="0" fontId="2" fillId="2" borderId="2" xfId="0" applyFont="1" applyFill="1" applyBorder="1" applyAlignment="1">
      <alignment horizontal="centerContinuous"/>
    </xf>
    <xf numFmtId="0" fontId="2" fillId="2" borderId="7" xfId="0" applyFont="1" applyFill="1" applyBorder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1" fillId="2" borderId="0" xfId="0" applyFont="1" applyFill="1" applyAlignment="1">
      <alignment horizontal="centerContinuous" vertical="center"/>
    </xf>
    <xf numFmtId="0" fontId="4" fillId="2" borderId="0" xfId="0" applyFont="1" applyFill="1" applyAlignment="1">
      <alignment horizontal="centerContinuous" vertical="center"/>
    </xf>
    <xf numFmtId="9" fontId="1" fillId="2" borderId="0" xfId="0" applyNumberFormat="1" applyFont="1" applyFill="1" applyAlignment="1">
      <alignment horizontal="centerContinuous"/>
    </xf>
    <xf numFmtId="9" fontId="5" fillId="2" borderId="0" xfId="1" applyNumberFormat="1" applyFill="1" applyAlignment="1">
      <alignment horizontal="centerContinuous"/>
    </xf>
    <xf numFmtId="0" fontId="5" fillId="2" borderId="0" xfId="1" applyFill="1" applyAlignment="1">
      <alignment horizontal="centerContinuous"/>
    </xf>
    <xf numFmtId="0" fontId="6" fillId="2" borderId="0" xfId="0" applyFont="1" applyFill="1"/>
    <xf numFmtId="0" fontId="7" fillId="2" borderId="0" xfId="0" applyFont="1" applyFill="1"/>
    <xf numFmtId="0" fontId="8" fillId="3" borderId="6" xfId="0" applyFont="1" applyFill="1" applyBorder="1" applyAlignment="1">
      <alignment horizontal="centerContinuous"/>
    </xf>
    <xf numFmtId="0" fontId="8" fillId="3" borderId="2" xfId="0" applyFont="1" applyFill="1" applyBorder="1" applyAlignment="1">
      <alignment horizontal="centerContinuous"/>
    </xf>
    <xf numFmtId="0" fontId="8" fillId="3" borderId="7" xfId="0" applyFont="1" applyFill="1" applyBorder="1" applyAlignment="1">
      <alignment horizontal="centerContinuous"/>
    </xf>
    <xf numFmtId="0" fontId="8" fillId="2" borderId="2" xfId="0" applyFont="1" applyFill="1" applyBorder="1" applyAlignment="1">
      <alignment horizontal="centerContinuous"/>
    </xf>
    <xf numFmtId="0" fontId="8" fillId="2" borderId="7" xfId="0" applyFont="1" applyFill="1" applyBorder="1" applyAlignment="1">
      <alignment horizontal="centerContinuous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Continuous" vertical="top"/>
    </xf>
    <xf numFmtId="0" fontId="10" fillId="2" borderId="0" xfId="0" applyFont="1" applyFill="1" applyAlignment="1">
      <alignment horizontal="centerContinuous" vertical="center"/>
    </xf>
    <xf numFmtId="0" fontId="2" fillId="2" borderId="0" xfId="0" applyFont="1" applyFill="1" applyAlignment="1">
      <alignment horizontal="centerContinuous"/>
    </xf>
    <xf numFmtId="0" fontId="9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Continuous"/>
    </xf>
    <xf numFmtId="0" fontId="2" fillId="2" borderId="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3" borderId="1" xfId="0" applyFont="1" applyFill="1" applyBorder="1" applyAlignment="1" applyProtection="1">
      <alignment horizontal="left"/>
      <protection locked="0"/>
    </xf>
    <xf numFmtId="0" fontId="1" fillId="3" borderId="2" xfId="0" applyFont="1" applyFill="1" applyBorder="1" applyAlignment="1" applyProtection="1">
      <alignment horizontal="left"/>
      <protection locked="0"/>
    </xf>
    <xf numFmtId="0" fontId="1" fillId="3" borderId="16" xfId="0" applyFont="1" applyFill="1" applyBorder="1" applyAlignment="1" applyProtection="1">
      <alignment horizontal="left"/>
      <protection locked="0"/>
    </xf>
    <xf numFmtId="0" fontId="8" fillId="2" borderId="6" xfId="0" applyFont="1" applyFill="1" applyBorder="1" applyAlignment="1" applyProtection="1">
      <alignment horizontal="centerContinuous"/>
      <protection locked="0"/>
    </xf>
    <xf numFmtId="0" fontId="2" fillId="3" borderId="17" xfId="0" applyFont="1" applyFill="1" applyBorder="1" applyAlignment="1" applyProtection="1">
      <alignment horizontal="left"/>
      <protection locked="0"/>
    </xf>
    <xf numFmtId="0" fontId="2" fillId="3" borderId="18" xfId="0" applyFont="1" applyFill="1" applyBorder="1" applyAlignment="1" applyProtection="1">
      <alignment horizontal="left"/>
      <protection locked="0"/>
    </xf>
    <xf numFmtId="0" fontId="2" fillId="3" borderId="20" xfId="0" applyFont="1" applyFill="1" applyBorder="1" applyAlignment="1" applyProtection="1">
      <alignment horizontal="left"/>
      <protection locked="0"/>
    </xf>
    <xf numFmtId="0" fontId="2" fillId="2" borderId="17" xfId="0" applyFont="1" applyFill="1" applyBorder="1" applyAlignment="1" applyProtection="1">
      <alignment horizontal="center"/>
      <protection locked="0"/>
    </xf>
    <xf numFmtId="0" fontId="2" fillId="2" borderId="18" xfId="0" applyFont="1" applyFill="1" applyBorder="1" applyAlignment="1" applyProtection="1">
      <alignment horizontal="center"/>
      <protection locked="0"/>
    </xf>
    <xf numFmtId="0" fontId="2" fillId="2" borderId="20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left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0" fontId="2" fillId="2" borderId="19" xfId="0" applyFont="1" applyFill="1" applyBorder="1" applyAlignment="1" applyProtection="1">
      <alignment horizontal="center"/>
      <protection locked="0"/>
    </xf>
    <xf numFmtId="0" fontId="2" fillId="2" borderId="21" xfId="0" applyFont="1" applyFill="1" applyBorder="1" applyAlignment="1" applyProtection="1">
      <alignment horizontal="center"/>
      <protection locked="0"/>
    </xf>
    <xf numFmtId="0" fontId="2" fillId="3" borderId="6" xfId="0" applyFont="1" applyFill="1" applyBorder="1" applyAlignment="1" applyProtection="1">
      <alignment horizontal="left"/>
      <protection locked="0"/>
    </xf>
    <xf numFmtId="0" fontId="2" fillId="3" borderId="1" xfId="0" applyFont="1" applyFill="1" applyBorder="1" applyAlignment="1" applyProtection="1">
      <alignment horizontal="left"/>
      <protection locked="0"/>
    </xf>
    <xf numFmtId="0" fontId="2" fillId="3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center"/>
      <protection locked="0"/>
    </xf>
    <xf numFmtId="1" fontId="2" fillId="0" borderId="2" xfId="0" applyNumberFormat="1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2EFDA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2EFDA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2EFDA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800100</xdr:colOff>
      <xdr:row>5827</xdr:row>
      <xdr:rowOff>12700</xdr:rowOff>
    </xdr:from>
    <xdr:to>
      <xdr:col>37</xdr:col>
      <xdr:colOff>36048</xdr:colOff>
      <xdr:row>5829</xdr:row>
      <xdr:rowOff>185502</xdr:rowOff>
    </xdr:to>
    <xdr:pic>
      <xdr:nvPicPr>
        <xdr:cNvPr id="5" name="Picture 4" descr="Image result for GREEN BUSINESS BUREAU PLATINUM SEA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890959" y="0"/>
          <a:ext cx="886948" cy="579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178</xdr:col>
      <xdr:colOff>431800</xdr:colOff>
      <xdr:row>5883</xdr:row>
      <xdr:rowOff>114300</xdr:rowOff>
    </xdr:from>
    <xdr:to>
      <xdr:col>179</xdr:col>
      <xdr:colOff>540870</xdr:colOff>
      <xdr:row>5885</xdr:row>
      <xdr:rowOff>77888</xdr:rowOff>
    </xdr:to>
    <xdr:pic>
      <xdr:nvPicPr>
        <xdr:cNvPr id="6" name="Picture 5" descr="Image result for BBB ACCREDITED BUSINESS SEAL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43542" y="126351"/>
          <a:ext cx="934570" cy="369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312924</xdr:colOff>
      <xdr:row>29</xdr:row>
      <xdr:rowOff>188256</xdr:rowOff>
    </xdr:from>
    <xdr:to>
      <xdr:col>9</xdr:col>
      <xdr:colOff>516543</xdr:colOff>
      <xdr:row>40</xdr:row>
      <xdr:rowOff>166556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6A9D46-EE3B-B719-72EE-6CE83F594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367" y="7953994"/>
          <a:ext cx="2722799" cy="2435021"/>
        </a:xfrm>
        <a:prstGeom prst="rect">
          <a:avLst/>
        </a:prstGeom>
      </xdr:spPr>
    </xdr:pic>
    <xdr:clientData/>
  </xdr:twoCellAnchor>
  <xdr:twoCellAnchor>
    <xdr:from>
      <xdr:col>1</xdr:col>
      <xdr:colOff>942424</xdr:colOff>
      <xdr:row>0</xdr:row>
      <xdr:rowOff>0</xdr:rowOff>
    </xdr:from>
    <xdr:to>
      <xdr:col>9</xdr:col>
      <xdr:colOff>138906</xdr:colOff>
      <xdr:row>2</xdr:row>
      <xdr:rowOff>0</xdr:rowOff>
    </xdr:to>
    <xdr:grpSp>
      <xdr:nvGrpSpPr>
        <xdr:cNvPr id="15" name="4 Grupo">
          <a:extLst>
            <a:ext uri="{FF2B5EF4-FFF2-40B4-BE49-F238E27FC236}">
              <a16:creationId xmlns:a16="http://schemas.microsoft.com/office/drawing/2014/main" id="{CD34F76F-D020-9948-A9D2-CA37F377262F}"/>
            </a:ext>
          </a:extLst>
        </xdr:cNvPr>
        <xdr:cNvGrpSpPr/>
      </xdr:nvGrpSpPr>
      <xdr:grpSpPr>
        <a:xfrm>
          <a:off x="2047324" y="0"/>
          <a:ext cx="6752982" cy="1219200"/>
          <a:chOff x="247774" y="9318518"/>
          <a:chExt cx="3885412" cy="579202"/>
        </a:xfrm>
      </xdr:grpSpPr>
      <xdr:pic>
        <xdr:nvPicPr>
          <xdr:cNvPr id="16" name="Picture 2" descr="C:\Users\Yarinka\Documents\GreenTech Painting-new\Certificates\CaGBC.png">
            <a:extLst>
              <a:ext uri="{FF2B5EF4-FFF2-40B4-BE49-F238E27FC236}">
                <a16:creationId xmlns:a16="http://schemas.microsoft.com/office/drawing/2014/main" id="{7CA6D1CD-3AA0-F2EB-C7B8-8E36C4285E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0055" y="9379081"/>
            <a:ext cx="473254" cy="4589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7" name="Picture 4" descr="Image result for GREEN BUSINESS BUREAU PLATINUM SEAL">
            <a:extLst>
              <a:ext uri="{FF2B5EF4-FFF2-40B4-BE49-F238E27FC236}">
                <a16:creationId xmlns:a16="http://schemas.microsoft.com/office/drawing/2014/main" id="{E0ECDE9D-C474-D07A-7F67-F3492A15080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247774" y="9318518"/>
            <a:ext cx="886948" cy="5792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8" name="Picture 14" descr="Image result for BBB ACCREDITED BUSINESS SEAL">
            <a:extLst>
              <a:ext uri="{FF2B5EF4-FFF2-40B4-BE49-F238E27FC236}">
                <a16:creationId xmlns:a16="http://schemas.microsoft.com/office/drawing/2014/main" id="{FA9C54FA-43E5-C28D-ABA8-856CC234E63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1169998" y="9408444"/>
            <a:ext cx="934570" cy="36998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9" name="Picture 29">
            <a:extLst>
              <a:ext uri="{FF2B5EF4-FFF2-40B4-BE49-F238E27FC236}">
                <a16:creationId xmlns:a16="http://schemas.microsoft.com/office/drawing/2014/main" id="{0C4C753C-B22B-C423-5F33-5AF3DAAF78B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2639805" y="9410326"/>
            <a:ext cx="627737" cy="3501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" name="Picture 2">
            <a:extLst>
              <a:ext uri="{FF2B5EF4-FFF2-40B4-BE49-F238E27FC236}">
                <a16:creationId xmlns:a16="http://schemas.microsoft.com/office/drawing/2014/main" id="{82E85F9E-F45A-43F3-AA82-ED73CD62313E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3307155" y="9400803"/>
            <a:ext cx="826031" cy="3755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142688</xdr:colOff>
      <xdr:row>0</xdr:row>
      <xdr:rowOff>30238</xdr:rowOff>
    </xdr:from>
    <xdr:to>
      <xdr:col>1</xdr:col>
      <xdr:colOff>876905</xdr:colOff>
      <xdr:row>2</xdr:row>
      <xdr:rowOff>645394</xdr:rowOff>
    </xdr:to>
    <xdr:grpSp>
      <xdr:nvGrpSpPr>
        <xdr:cNvPr id="21" name="9 Grupo">
          <a:extLst>
            <a:ext uri="{FF2B5EF4-FFF2-40B4-BE49-F238E27FC236}">
              <a16:creationId xmlns:a16="http://schemas.microsoft.com/office/drawing/2014/main" id="{5AD835D2-34ED-F942-8859-0E583E409044}"/>
            </a:ext>
          </a:extLst>
        </xdr:cNvPr>
        <xdr:cNvGrpSpPr/>
      </xdr:nvGrpSpPr>
      <xdr:grpSpPr>
        <a:xfrm>
          <a:off x="142688" y="30238"/>
          <a:ext cx="1839117" cy="1834356"/>
          <a:chOff x="5209025" y="429686"/>
          <a:chExt cx="1329288" cy="1674998"/>
        </a:xfrm>
      </xdr:grpSpPr>
      <xdr:pic>
        <xdr:nvPicPr>
          <xdr:cNvPr id="22" name="1 Imagen">
            <a:extLst>
              <a:ext uri="{FF2B5EF4-FFF2-40B4-BE49-F238E27FC236}">
                <a16:creationId xmlns:a16="http://schemas.microsoft.com/office/drawing/2014/main" id="{BB726C60-34DB-1C3D-74E4-B0A41DC1FE70}"/>
              </a:ext>
            </a:extLst>
          </xdr:cNvPr>
          <xdr:cNvPicPr/>
        </xdr:nvPicPr>
        <xdr:blipFill rotWithShape="1">
          <a:blip xmlns:r="http://schemas.openxmlformats.org/officeDocument/2006/relationships" r:embed="rId7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-2"/>
          <a:stretch/>
        </xdr:blipFill>
        <xdr:spPr bwMode="auto">
          <a:xfrm>
            <a:off x="5209025" y="429686"/>
            <a:ext cx="1329288" cy="1374777"/>
          </a:xfrm>
          <a:prstGeom prst="rect">
            <a:avLst/>
          </a:prstGeom>
          <a:noFill/>
        </xdr:spPr>
      </xdr:pic>
      <xdr:pic>
        <xdr:nvPicPr>
          <xdr:cNvPr id="23" name="2 Imagen">
            <a:extLst>
              <a:ext uri="{FF2B5EF4-FFF2-40B4-BE49-F238E27FC236}">
                <a16:creationId xmlns:a16="http://schemas.microsoft.com/office/drawing/2014/main" id="{2E9890C4-821C-5D71-A82E-F0BFD144A866}"/>
              </a:ext>
            </a:extLst>
          </xdr:cNvPr>
          <xdr:cNvPicPr/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46924" y="1839254"/>
            <a:ext cx="1057275" cy="265430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8BD0E7-EF62-B942-B78B-F4E3BC116852}" name="Customer" displayName="Customer" ref="B4:B9" totalsRowShown="0" headerRowDxfId="1" dataDxfId="0" headerRowBorderDxfId="4" tableBorderDxfId="5" totalsRowBorderDxfId="3">
  <autoFilter ref="B4:B9" xr:uid="{038BD0E7-EF62-B942-B78B-F4E3BC116852}"/>
  <tableColumns count="1">
    <tableColumn id="1" xr3:uid="{0A72E42E-6AC3-414C-9301-1BD96CB89F3B}" name="Customer na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greentechpainting.com/" TargetMode="External"/><Relationship Id="rId1" Type="http://schemas.openxmlformats.org/officeDocument/2006/relationships/hyperlink" Target="mailto:customerservice@greentechpainting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1A20-3012-C546-B343-EF0199720B8F}">
  <dimension ref="A1:K43"/>
  <sheetViews>
    <sheetView topLeftCell="A23" zoomScale="200" zoomScaleNormal="84" workbookViewId="0">
      <selection activeCell="B37" sqref="B37"/>
    </sheetView>
  </sheetViews>
  <sheetFormatPr baseColWidth="10" defaultRowHeight="16" x14ac:dyDescent="0.2"/>
  <cols>
    <col min="1" max="1" width="14.5" customWidth="1"/>
    <col min="2" max="2" width="23.1640625" customWidth="1"/>
    <col min="4" max="4" width="10.83203125" customWidth="1"/>
    <col min="6" max="6" width="10.6640625" customWidth="1"/>
    <col min="7" max="7" width="11.1640625" customWidth="1"/>
  </cols>
  <sheetData>
    <row r="1" spans="1:11" ht="33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1" ht="63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1"/>
    </row>
    <row r="3" spans="1:11" ht="55" customHeight="1" x14ac:dyDescent="1">
      <c r="A3" s="3"/>
      <c r="B3" s="3"/>
      <c r="C3" s="22" t="s">
        <v>57</v>
      </c>
      <c r="D3" s="21"/>
      <c r="E3" s="3"/>
      <c r="F3" s="3"/>
      <c r="G3" s="17" t="s">
        <v>52</v>
      </c>
      <c r="H3" s="16"/>
      <c r="I3" s="16"/>
      <c r="J3" s="3"/>
      <c r="K3" s="1"/>
    </row>
    <row r="4" spans="1:11" ht="22" customHeight="1" x14ac:dyDescent="0.25">
      <c r="A4" s="41" t="s">
        <v>10</v>
      </c>
      <c r="B4" s="51" t="s">
        <v>68</v>
      </c>
      <c r="C4" s="3"/>
      <c r="D4" s="23" t="s">
        <v>58</v>
      </c>
      <c r="E4" s="24"/>
      <c r="F4" s="25"/>
      <c r="G4" s="45" t="s">
        <v>53</v>
      </c>
      <c r="H4" s="15"/>
      <c r="I4" s="15"/>
      <c r="J4" s="3"/>
      <c r="K4" s="1"/>
    </row>
    <row r="5" spans="1:11" ht="22" customHeight="1" x14ac:dyDescent="0.25">
      <c r="A5" s="41" t="s">
        <v>11</v>
      </c>
      <c r="B5" s="52"/>
      <c r="C5" s="3"/>
      <c r="D5" s="54" t="s">
        <v>67</v>
      </c>
      <c r="E5" s="26"/>
      <c r="F5" s="27"/>
      <c r="G5" s="45" t="s">
        <v>54</v>
      </c>
      <c r="H5" s="15"/>
      <c r="I5" s="15"/>
      <c r="J5" s="3"/>
      <c r="K5" s="1"/>
    </row>
    <row r="6" spans="1:11" ht="22" customHeight="1" x14ac:dyDescent="0.2">
      <c r="A6" s="41" t="s">
        <v>12</v>
      </c>
      <c r="B6" s="52"/>
      <c r="C6" s="3"/>
      <c r="D6" s="3"/>
      <c r="E6" s="3"/>
      <c r="F6" s="3"/>
      <c r="G6" s="15">
        <v>2265042243</v>
      </c>
      <c r="H6" s="15"/>
      <c r="I6" s="15"/>
      <c r="J6" s="3"/>
      <c r="K6" s="1"/>
    </row>
    <row r="7" spans="1:11" ht="22" customHeight="1" x14ac:dyDescent="0.2">
      <c r="A7" s="41" t="s">
        <v>13</v>
      </c>
      <c r="B7" s="52"/>
      <c r="C7" s="3"/>
      <c r="D7" s="3"/>
      <c r="E7" s="9"/>
      <c r="F7" s="9"/>
      <c r="G7" s="19" t="s">
        <v>55</v>
      </c>
      <c r="H7" s="18"/>
      <c r="I7" s="18"/>
      <c r="J7" s="3"/>
      <c r="K7" s="1"/>
    </row>
    <row r="8" spans="1:11" ht="22" customHeight="1" x14ac:dyDescent="0.2">
      <c r="A8" s="41" t="s">
        <v>14</v>
      </c>
      <c r="B8" s="52"/>
      <c r="C8" s="3"/>
      <c r="D8" s="3"/>
      <c r="E8" s="3"/>
      <c r="F8" s="3"/>
      <c r="G8" s="20" t="s">
        <v>56</v>
      </c>
      <c r="H8" s="15"/>
      <c r="I8" s="15"/>
      <c r="J8" s="3"/>
      <c r="K8" s="1"/>
    </row>
    <row r="9" spans="1:11" ht="22" customHeight="1" x14ac:dyDescent="0.2">
      <c r="A9" s="41" t="s">
        <v>51</v>
      </c>
      <c r="B9" s="53"/>
      <c r="C9" s="3"/>
      <c r="D9" s="3"/>
      <c r="E9" s="3"/>
      <c r="F9" s="3"/>
      <c r="G9" s="3"/>
      <c r="H9" s="3"/>
      <c r="I9" s="3"/>
      <c r="J9" s="3"/>
      <c r="K9" s="1"/>
    </row>
    <row r="10" spans="1:11" ht="52" customHeight="1" x14ac:dyDescent="0.2">
      <c r="A10" s="3"/>
      <c r="B10" s="3"/>
      <c r="C10" s="17" t="s">
        <v>60</v>
      </c>
      <c r="D10" s="16"/>
      <c r="E10" s="15"/>
      <c r="F10" s="44"/>
      <c r="G10" s="43"/>
      <c r="H10" s="16"/>
      <c r="I10" s="16"/>
      <c r="J10" s="15"/>
      <c r="K10" s="1"/>
    </row>
    <row r="11" spans="1:11" ht="21" customHeight="1" x14ac:dyDescent="0.25">
      <c r="A11" s="37" t="s">
        <v>25</v>
      </c>
      <c r="B11" s="36" t="s">
        <v>15</v>
      </c>
      <c r="C11" s="38" t="s">
        <v>16</v>
      </c>
      <c r="D11" s="12"/>
      <c r="E11" s="13"/>
      <c r="F11" s="39" t="s">
        <v>2</v>
      </c>
      <c r="G11" s="39" t="s">
        <v>8</v>
      </c>
      <c r="H11" s="48" t="s">
        <v>1</v>
      </c>
      <c r="I11" s="13"/>
      <c r="J11" s="3"/>
      <c r="K11" s="1"/>
    </row>
    <row r="12" spans="1:11" ht="17" customHeight="1" x14ac:dyDescent="0.2">
      <c r="A12" s="32"/>
      <c r="B12" s="46" t="s">
        <v>61</v>
      </c>
      <c r="C12" s="4" t="s">
        <v>17</v>
      </c>
      <c r="D12" s="5" t="s">
        <v>18</v>
      </c>
      <c r="E12" s="6" t="s">
        <v>19</v>
      </c>
      <c r="F12" s="47" t="s">
        <v>62</v>
      </c>
      <c r="G12" s="47" t="s">
        <v>62</v>
      </c>
      <c r="H12" s="49" t="s">
        <v>4</v>
      </c>
      <c r="I12" s="50" t="s">
        <v>3</v>
      </c>
      <c r="J12" s="7"/>
      <c r="K12" s="1"/>
    </row>
    <row r="13" spans="1:11" x14ac:dyDescent="0.2">
      <c r="A13" s="28">
        <v>1</v>
      </c>
      <c r="B13" s="55" t="s">
        <v>66</v>
      </c>
      <c r="C13" s="58" t="s">
        <v>63</v>
      </c>
      <c r="D13" s="58">
        <v>2</v>
      </c>
      <c r="E13" s="58" t="s">
        <v>64</v>
      </c>
      <c r="F13" s="61" t="s">
        <v>46</v>
      </c>
      <c r="G13" s="61" t="s">
        <v>45</v>
      </c>
      <c r="H13" s="62" t="s">
        <v>65</v>
      </c>
      <c r="I13" s="63">
        <v>1</v>
      </c>
      <c r="J13" s="3"/>
      <c r="K13" s="1"/>
    </row>
    <row r="14" spans="1:11" x14ac:dyDescent="0.2">
      <c r="A14" s="29">
        <v>2</v>
      </c>
      <c r="B14" s="56" t="s">
        <v>48</v>
      </c>
      <c r="C14" s="59">
        <v>1</v>
      </c>
      <c r="D14" s="59">
        <v>2</v>
      </c>
      <c r="E14" s="59">
        <v>3</v>
      </c>
      <c r="F14" s="56" t="s">
        <v>45</v>
      </c>
      <c r="G14" s="56" t="s">
        <v>46</v>
      </c>
      <c r="H14" s="59"/>
      <c r="I14" s="64"/>
      <c r="J14" s="3"/>
      <c r="K14" s="1"/>
    </row>
    <row r="15" spans="1:11" x14ac:dyDescent="0.2">
      <c r="A15" s="28">
        <v>3</v>
      </c>
      <c r="B15" s="56" t="s">
        <v>49</v>
      </c>
      <c r="C15" s="59">
        <v>2</v>
      </c>
      <c r="D15" s="59"/>
      <c r="E15" s="59">
        <v>6</v>
      </c>
      <c r="F15" s="56" t="s">
        <v>46</v>
      </c>
      <c r="G15" s="56" t="s">
        <v>46</v>
      </c>
      <c r="H15" s="59"/>
      <c r="I15" s="64"/>
      <c r="J15" s="3"/>
      <c r="K15" s="1"/>
    </row>
    <row r="16" spans="1:11" x14ac:dyDescent="0.2">
      <c r="A16" s="28">
        <v>4</v>
      </c>
      <c r="B16" s="56" t="s">
        <v>47</v>
      </c>
      <c r="C16" s="59">
        <v>1</v>
      </c>
      <c r="D16" s="59"/>
      <c r="E16" s="59"/>
      <c r="F16" s="56" t="s">
        <v>45</v>
      </c>
      <c r="G16" s="56" t="s">
        <v>46</v>
      </c>
      <c r="H16" s="59"/>
      <c r="I16" s="64"/>
      <c r="J16" s="3"/>
      <c r="K16" s="1"/>
    </row>
    <row r="17" spans="1:11" x14ac:dyDescent="0.2">
      <c r="A17" s="28">
        <v>5</v>
      </c>
      <c r="B17" s="56" t="s">
        <v>66</v>
      </c>
      <c r="C17" s="59">
        <v>1</v>
      </c>
      <c r="D17" s="59"/>
      <c r="E17" s="59"/>
      <c r="F17" s="56" t="s">
        <v>46</v>
      </c>
      <c r="G17" s="56"/>
      <c r="H17" s="59"/>
      <c r="I17" s="64"/>
      <c r="J17" s="3"/>
      <c r="K17" s="1"/>
    </row>
    <row r="18" spans="1:11" x14ac:dyDescent="0.2">
      <c r="A18" s="28">
        <v>6</v>
      </c>
      <c r="B18" s="56" t="s">
        <v>47</v>
      </c>
      <c r="C18" s="59">
        <v>5</v>
      </c>
      <c r="D18" s="59"/>
      <c r="E18" s="59"/>
      <c r="F18" s="56" t="s">
        <v>46</v>
      </c>
      <c r="G18" s="56"/>
      <c r="H18" s="59"/>
      <c r="I18" s="64"/>
      <c r="J18" s="3"/>
      <c r="K18" s="1"/>
    </row>
    <row r="19" spans="1:11" x14ac:dyDescent="0.2">
      <c r="A19" s="28">
        <v>7</v>
      </c>
      <c r="B19" s="56"/>
      <c r="C19" s="59"/>
      <c r="D19" s="59"/>
      <c r="E19" s="59"/>
      <c r="F19" s="56" t="s">
        <v>45</v>
      </c>
      <c r="G19" s="56"/>
      <c r="H19" s="59"/>
      <c r="I19" s="64"/>
      <c r="J19" s="3"/>
      <c r="K19" s="1"/>
    </row>
    <row r="20" spans="1:11" x14ac:dyDescent="0.2">
      <c r="A20" s="28">
        <v>8</v>
      </c>
      <c r="B20" s="56"/>
      <c r="C20" s="59"/>
      <c r="D20" s="59"/>
      <c r="E20" s="59"/>
      <c r="F20" s="56" t="s">
        <v>45</v>
      </c>
      <c r="G20" s="56"/>
      <c r="H20" s="59"/>
      <c r="I20" s="64"/>
      <c r="J20" s="3"/>
      <c r="K20" s="1"/>
    </row>
    <row r="21" spans="1:11" x14ac:dyDescent="0.2">
      <c r="A21" s="28">
        <v>9</v>
      </c>
      <c r="B21" s="56"/>
      <c r="C21" s="59"/>
      <c r="D21" s="59"/>
      <c r="E21" s="59"/>
      <c r="F21" s="56" t="s">
        <v>45</v>
      </c>
      <c r="G21" s="56"/>
      <c r="H21" s="59"/>
      <c r="I21" s="64"/>
      <c r="J21" s="3"/>
      <c r="K21" s="1"/>
    </row>
    <row r="22" spans="1:11" x14ac:dyDescent="0.2">
      <c r="A22" s="28">
        <v>10</v>
      </c>
      <c r="B22" s="56"/>
      <c r="C22" s="59"/>
      <c r="D22" s="59"/>
      <c r="E22" s="59"/>
      <c r="F22" s="56" t="s">
        <v>46</v>
      </c>
      <c r="G22" s="56"/>
      <c r="H22" s="59"/>
      <c r="I22" s="64"/>
      <c r="J22" s="3"/>
      <c r="K22" s="1"/>
    </row>
    <row r="23" spans="1:11" x14ac:dyDescent="0.2">
      <c r="A23" s="28">
        <v>11</v>
      </c>
      <c r="B23" s="56"/>
      <c r="C23" s="59"/>
      <c r="D23" s="59"/>
      <c r="E23" s="59"/>
      <c r="F23" s="56" t="s">
        <v>46</v>
      </c>
      <c r="G23" s="56"/>
      <c r="H23" s="59"/>
      <c r="I23" s="64"/>
      <c r="J23" s="3"/>
      <c r="K23" s="1"/>
    </row>
    <row r="24" spans="1:11" x14ac:dyDescent="0.2">
      <c r="A24" s="28">
        <v>12</v>
      </c>
      <c r="B24" s="56"/>
      <c r="C24" s="59"/>
      <c r="D24" s="59"/>
      <c r="E24" s="59"/>
      <c r="F24" s="56" t="s">
        <v>45</v>
      </c>
      <c r="G24" s="56"/>
      <c r="H24" s="59"/>
      <c r="I24" s="64"/>
      <c r="J24" s="3"/>
      <c r="K24" s="1"/>
    </row>
    <row r="25" spans="1:11" x14ac:dyDescent="0.2">
      <c r="A25" s="28">
        <v>13</v>
      </c>
      <c r="B25" s="56"/>
      <c r="C25" s="59"/>
      <c r="D25" s="59"/>
      <c r="E25" s="59"/>
      <c r="F25" s="56" t="s">
        <v>45</v>
      </c>
      <c r="G25" s="56"/>
      <c r="H25" s="59"/>
      <c r="I25" s="64"/>
      <c r="J25" s="3"/>
      <c r="K25" s="1"/>
    </row>
    <row r="26" spans="1:11" x14ac:dyDescent="0.2">
      <c r="A26" s="28">
        <v>14</v>
      </c>
      <c r="B26" s="56"/>
      <c r="C26" s="59"/>
      <c r="D26" s="59"/>
      <c r="E26" s="59"/>
      <c r="F26" s="56" t="s">
        <v>45</v>
      </c>
      <c r="G26" s="56"/>
      <c r="H26" s="59"/>
      <c r="I26" s="64"/>
      <c r="J26" s="3"/>
      <c r="K26" s="1"/>
    </row>
    <row r="27" spans="1:11" x14ac:dyDescent="0.2">
      <c r="A27" s="30">
        <v>15</v>
      </c>
      <c r="B27" s="57"/>
      <c r="C27" s="60"/>
      <c r="D27" s="60"/>
      <c r="E27" s="60"/>
      <c r="F27" s="57" t="s">
        <v>46</v>
      </c>
      <c r="G27" s="57"/>
      <c r="H27" s="60"/>
      <c r="I27" s="65"/>
      <c r="J27" s="3"/>
      <c r="K27" s="1"/>
    </row>
    <row r="28" spans="1:11" hidden="1" x14ac:dyDescent="0.2">
      <c r="A28" s="3"/>
      <c r="B28" s="3"/>
      <c r="C28" s="3"/>
      <c r="D28" s="3"/>
      <c r="E28" s="3"/>
      <c r="F28" s="3"/>
      <c r="G28" s="3"/>
      <c r="H28" s="2" t="s">
        <v>26</v>
      </c>
      <c r="I28" s="11">
        <v>0.13</v>
      </c>
      <c r="J28" s="3"/>
      <c r="K28" s="1"/>
    </row>
    <row r="29" spans="1:11" x14ac:dyDescent="0.2">
      <c r="A29" s="3"/>
      <c r="B29" s="3"/>
      <c r="C29" s="3"/>
      <c r="D29" s="3"/>
      <c r="E29" s="3"/>
      <c r="F29" s="3"/>
      <c r="G29" s="3"/>
      <c r="H29" s="2"/>
      <c r="I29" s="2"/>
      <c r="J29" s="3"/>
      <c r="K29" s="1"/>
    </row>
    <row r="30" spans="1:11" ht="30" customHeight="1" x14ac:dyDescent="0.2">
      <c r="A30" s="17"/>
      <c r="B30" s="17" t="s">
        <v>20</v>
      </c>
      <c r="C30" s="34"/>
      <c r="D30" s="34"/>
      <c r="E30" s="34"/>
      <c r="F30" s="34"/>
      <c r="G30" s="33"/>
      <c r="H30" s="14"/>
      <c r="I30" s="14"/>
      <c r="J30" s="14"/>
      <c r="K30" s="1"/>
    </row>
    <row r="31" spans="1:11" x14ac:dyDescent="0.2">
      <c r="A31" s="35"/>
      <c r="B31" s="66" t="s">
        <v>5</v>
      </c>
      <c r="C31" s="8"/>
      <c r="D31" s="69">
        <v>1</v>
      </c>
      <c r="E31" s="8"/>
      <c r="F31" s="71">
        <v>1</v>
      </c>
      <c r="G31" s="14"/>
      <c r="H31" s="14"/>
      <c r="I31" s="14"/>
      <c r="J31" s="14"/>
      <c r="K31" s="1"/>
    </row>
    <row r="32" spans="1:11" x14ac:dyDescent="0.2">
      <c r="A32" s="31"/>
      <c r="B32" s="66" t="s">
        <v>6</v>
      </c>
      <c r="C32" s="31"/>
      <c r="D32" s="69">
        <v>1</v>
      </c>
      <c r="E32" s="31"/>
      <c r="F32" s="71">
        <v>1</v>
      </c>
      <c r="G32" s="14"/>
      <c r="H32" s="14"/>
      <c r="I32" s="14"/>
      <c r="J32" s="14"/>
      <c r="K32" s="1"/>
    </row>
    <row r="33" spans="1:11" x14ac:dyDescent="0.2">
      <c r="A33" s="31"/>
      <c r="B33" s="66" t="s">
        <v>7</v>
      </c>
      <c r="C33" s="31"/>
      <c r="D33" s="69">
        <v>1</v>
      </c>
      <c r="E33" s="31"/>
      <c r="F33" s="71">
        <v>1</v>
      </c>
      <c r="G33" s="14"/>
      <c r="H33" s="14"/>
      <c r="I33" s="14"/>
      <c r="J33" s="14"/>
      <c r="K33" s="1"/>
    </row>
    <row r="34" spans="1:11" x14ac:dyDescent="0.2">
      <c r="A34" s="31" t="s">
        <v>21</v>
      </c>
      <c r="B34" s="66"/>
      <c r="C34" s="31" t="s">
        <v>22</v>
      </c>
      <c r="D34" s="69"/>
      <c r="E34" s="31"/>
      <c r="F34" s="71"/>
      <c r="G34" s="14"/>
      <c r="H34" s="14"/>
      <c r="I34" s="14"/>
      <c r="J34" s="14"/>
      <c r="K34" s="1"/>
    </row>
    <row r="35" spans="1:11" x14ac:dyDescent="0.2">
      <c r="A35" s="31"/>
      <c r="B35" s="66"/>
      <c r="C35" s="31"/>
      <c r="D35" s="69"/>
      <c r="E35" s="31" t="s">
        <v>59</v>
      </c>
      <c r="F35" s="71"/>
      <c r="G35" s="14"/>
      <c r="H35" s="14"/>
      <c r="I35" s="14"/>
      <c r="J35" s="14"/>
      <c r="K35" s="1"/>
    </row>
    <row r="36" spans="1:11" x14ac:dyDescent="0.2">
      <c r="A36" s="31"/>
      <c r="B36" s="66"/>
      <c r="C36" s="31"/>
      <c r="D36" s="69"/>
      <c r="E36" s="31"/>
      <c r="F36" s="71"/>
      <c r="G36" s="14"/>
      <c r="H36" s="14"/>
      <c r="I36" s="14"/>
      <c r="J36" s="14"/>
      <c r="K36" s="1"/>
    </row>
    <row r="37" spans="1:11" x14ac:dyDescent="0.2">
      <c r="A37" s="31"/>
      <c r="B37" s="66" t="s">
        <v>5</v>
      </c>
      <c r="C37" s="32"/>
      <c r="D37" s="69">
        <v>1</v>
      </c>
      <c r="E37" s="31"/>
      <c r="F37" s="71">
        <v>1</v>
      </c>
      <c r="G37" s="14"/>
      <c r="H37" s="14"/>
      <c r="I37" s="14"/>
      <c r="J37" s="14"/>
      <c r="K37" s="1"/>
    </row>
    <row r="38" spans="1:11" x14ac:dyDescent="0.2">
      <c r="A38" s="40" t="s">
        <v>23</v>
      </c>
      <c r="B38" s="67" t="s">
        <v>8</v>
      </c>
      <c r="C38" s="42" t="s">
        <v>24</v>
      </c>
      <c r="D38" s="70">
        <v>0</v>
      </c>
      <c r="E38" s="31"/>
      <c r="F38" s="71">
        <v>0</v>
      </c>
      <c r="G38" s="14"/>
      <c r="H38" s="14"/>
      <c r="I38" s="14"/>
      <c r="J38" s="14"/>
      <c r="K38" s="1"/>
    </row>
    <row r="39" spans="1:11" x14ac:dyDescent="0.2">
      <c r="A39" s="32"/>
      <c r="B39" s="68" t="s">
        <v>9</v>
      </c>
      <c r="C39" s="32"/>
      <c r="D39" s="69">
        <v>0</v>
      </c>
      <c r="E39" s="32"/>
      <c r="F39" s="71">
        <v>0</v>
      </c>
      <c r="G39" s="14"/>
      <c r="H39" s="14"/>
      <c r="I39" s="14"/>
      <c r="J39" s="14"/>
      <c r="K39" s="1"/>
    </row>
    <row r="40" spans="1:11" x14ac:dyDescent="0.2">
      <c r="A40" s="3"/>
      <c r="B40" s="3"/>
      <c r="C40" s="3"/>
      <c r="D40" s="3"/>
      <c r="E40" s="3"/>
      <c r="F40" s="14"/>
      <c r="G40" s="14"/>
      <c r="H40" s="14"/>
      <c r="I40" s="14"/>
      <c r="J40" s="14"/>
      <c r="K40" s="1"/>
    </row>
    <row r="41" spans="1:1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"/>
    </row>
    <row r="42" spans="1:1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"/>
    </row>
    <row r="43" spans="1:1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</row>
  </sheetData>
  <sheetProtection sheet="1" objects="1" scenarios="1" selectLockedCells="1" autoFilter="0"/>
  <dataValidations count="4">
    <dataValidation type="list" allowBlank="1" showInputMessage="1" showErrorMessage="1" sqref="F13:F27 G13:G27" xr:uid="{4A75AADE-87AA-BD4B-A5B1-4927F9ED03E6}">
      <formula1>"Yes,No"</formula1>
    </dataValidation>
    <dataValidation type="list" allowBlank="1" showInputMessage="1" showErrorMessage="1" sqref="D5" xr:uid="{A3682800-F141-7944-9366-5C9CCAF77710}">
      <formula1>"Commercial,Standard,Special"</formula1>
    </dataValidation>
    <dataValidation type="list" allowBlank="1" showInputMessage="1" showErrorMessage="1" sqref="B31:B37" xr:uid="{8DFBB6F3-68E1-3D46-935E-3DDBB003E5F6}">
      <formula1>"Single standard wood door,One and a half wood door,Bi-fold wood door, Single tall wood door,One and a Half tall wood door,Bi-fold tall wood door,Single Metal man door, One and a half Metal man door, Bi-fold metal man door"</formula1>
    </dataValidation>
    <dataValidation type="list" allowBlank="1" showInputMessage="1" showErrorMessage="1" sqref="B14:B27 B13" xr:uid="{5E2A79ED-1AFE-9F49-8BE8-7FDF5B9317DA}">
      <formula1>"Basement,Bathroom,Bedroom,Closet,Dinning room,Entrance,Foyer,Garage,Half-Bath,Hallway,Home Office,Kitchen,Laundry room,Library room,Living Room,Master bedroom,Mechanical room,Room1,Room2,Stairwell,Storage room,Sunroom,TV room,Walk-in Closet"</formula1>
    </dataValidation>
  </dataValidations>
  <hyperlinks>
    <hyperlink ref="G7" r:id="rId1" xr:uid="{D9161236-4B76-5544-A112-949F497EC408}"/>
    <hyperlink ref="G8" r:id="rId2" xr:uid="{9028428F-0ABC-5747-9788-3E4FB9581F84}"/>
  </hyperlinks>
  <pageMargins left="0.7" right="0.7" top="0.75" bottom="0.75" header="0.3" footer="0.3"/>
  <pageSetup orientation="portrait" horizontalDpi="0" verticalDpi="0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D23C-AFC2-CD47-9A14-B81722EFBDC7}">
  <dimension ref="A1:R34"/>
  <sheetViews>
    <sheetView tabSelected="1" zoomScale="92" workbookViewId="0">
      <selection activeCell="H18" sqref="H18"/>
    </sheetView>
  </sheetViews>
  <sheetFormatPr baseColWidth="10" defaultRowHeight="16" x14ac:dyDescent="0.2"/>
  <cols>
    <col min="1" max="1" width="18.6640625" customWidth="1"/>
    <col min="2" max="2" width="14.83203125" customWidth="1"/>
    <col min="5" max="5" width="13" customWidth="1"/>
    <col min="11" max="11" width="12.5" customWidth="1"/>
    <col min="13" max="13" width="17.1640625" customWidth="1"/>
    <col min="14" max="14" width="11.83203125" customWidth="1"/>
    <col min="15" max="15" width="14.83203125" customWidth="1"/>
  </cols>
  <sheetData>
    <row r="1" spans="1:18" x14ac:dyDescent="0.2">
      <c r="A1" t="s">
        <v>0</v>
      </c>
      <c r="B1" t="s">
        <v>43</v>
      </c>
      <c r="C1" t="s">
        <v>27</v>
      </c>
      <c r="D1" t="s">
        <v>28</v>
      </c>
      <c r="E1" t="s">
        <v>50</v>
      </c>
      <c r="F1" t="s">
        <v>41</v>
      </c>
      <c r="G1" t="s">
        <v>30</v>
      </c>
      <c r="H1" t="s">
        <v>31</v>
      </c>
      <c r="I1" t="s">
        <v>32</v>
      </c>
      <c r="J1" t="s">
        <v>35</v>
      </c>
      <c r="K1" t="s">
        <v>36</v>
      </c>
      <c r="L1" t="s">
        <v>37</v>
      </c>
      <c r="M1" t="s">
        <v>40</v>
      </c>
      <c r="N1" t="s">
        <v>33</v>
      </c>
      <c r="O1" t="s">
        <v>34</v>
      </c>
      <c r="P1" t="s">
        <v>38</v>
      </c>
      <c r="Q1" t="s">
        <v>39</v>
      </c>
      <c r="R1" t="s">
        <v>42</v>
      </c>
    </row>
    <row r="2" spans="1:18" x14ac:dyDescent="0.2">
      <c r="A2" s="10" t="str">
        <f>'customer'!B4</f>
        <v>Customer name</v>
      </c>
      <c r="B2">
        <v>1</v>
      </c>
      <c r="C2" t="str">
        <f>'customer'!B13</f>
        <v>Dinning room</v>
      </c>
      <c r="D2" t="s">
        <v>29</v>
      </c>
      <c r="E2">
        <v>1</v>
      </c>
      <c r="F2" s="72" t="str">
        <f>'customer'!C13</f>
        <v>2</v>
      </c>
      <c r="G2">
        <f>'customer'!D13</f>
        <v>2</v>
      </c>
      <c r="H2" s="72" t="str">
        <f>'customer'!E13</f>
        <v>4</v>
      </c>
    </row>
    <row r="3" spans="1:18" x14ac:dyDescent="0.2">
      <c r="B3">
        <v>1</v>
      </c>
      <c r="C3" t="str">
        <f>'customer'!B13</f>
        <v>Dinning room</v>
      </c>
      <c r="D3" t="s">
        <v>2</v>
      </c>
      <c r="E3">
        <f>IF('customer'!F13="Yes", 1, 0)</f>
        <v>1</v>
      </c>
      <c r="F3" s="72" t="str">
        <f>'customer'!C13</f>
        <v>2</v>
      </c>
      <c r="G3">
        <f>'customer'!D13</f>
        <v>2</v>
      </c>
      <c r="H3" s="72" t="str">
        <f>'customer'!E13</f>
        <v>4</v>
      </c>
    </row>
    <row r="4" spans="1:18" x14ac:dyDescent="0.2">
      <c r="B4">
        <v>2</v>
      </c>
      <c r="C4" t="str">
        <f>'customer'!B14</f>
        <v>Foyer</v>
      </c>
      <c r="D4" t="s">
        <v>29</v>
      </c>
      <c r="E4">
        <v>1</v>
      </c>
      <c r="F4" s="72">
        <f>'customer'!C14</f>
        <v>1</v>
      </c>
      <c r="G4">
        <f>'customer'!D14</f>
        <v>2</v>
      </c>
      <c r="H4">
        <f>'customer'!E14</f>
        <v>3</v>
      </c>
    </row>
    <row r="5" spans="1:18" x14ac:dyDescent="0.2">
      <c r="B5">
        <v>2</v>
      </c>
      <c r="C5" t="str">
        <f>'customer'!B14</f>
        <v>Foyer</v>
      </c>
      <c r="D5" t="s">
        <v>2</v>
      </c>
      <c r="E5">
        <f>IF('customer'!F14="Yes", 1, 0)</f>
        <v>0</v>
      </c>
      <c r="F5" s="72">
        <f>'customer'!C14</f>
        <v>1</v>
      </c>
      <c r="G5">
        <f>'customer'!D14</f>
        <v>2</v>
      </c>
      <c r="H5">
        <f>'customer'!E14</f>
        <v>3</v>
      </c>
    </row>
    <row r="6" spans="1:18" x14ac:dyDescent="0.2">
      <c r="B6">
        <v>3</v>
      </c>
      <c r="C6" t="str">
        <f>'customer'!B15</f>
        <v>Bedroom</v>
      </c>
      <c r="D6" t="s">
        <v>29</v>
      </c>
      <c r="E6">
        <v>1</v>
      </c>
      <c r="F6" s="72">
        <f>'customer'!C15</f>
        <v>2</v>
      </c>
      <c r="G6">
        <f>'customer'!D15</f>
        <v>0</v>
      </c>
      <c r="H6">
        <f>'customer'!E15</f>
        <v>6</v>
      </c>
    </row>
    <row r="7" spans="1:18" x14ac:dyDescent="0.2">
      <c r="B7">
        <v>3</v>
      </c>
      <c r="C7" t="str">
        <f>'customer'!B15</f>
        <v>Bedroom</v>
      </c>
      <c r="D7" t="s">
        <v>2</v>
      </c>
      <c r="E7">
        <f>IF('customer'!F15="Yes", 1, 0)</f>
        <v>1</v>
      </c>
      <c r="F7" s="72">
        <f>'customer'!C15</f>
        <v>2</v>
      </c>
      <c r="G7">
        <f>'customer'!D15</f>
        <v>0</v>
      </c>
      <c r="H7">
        <f>'customer'!E15</f>
        <v>6</v>
      </c>
    </row>
    <row r="8" spans="1:18" x14ac:dyDescent="0.2">
      <c r="B8">
        <v>4</v>
      </c>
      <c r="C8" t="str">
        <f>'customer'!B16</f>
        <v>Closet</v>
      </c>
      <c r="D8" t="s">
        <v>29</v>
      </c>
      <c r="E8">
        <v>1</v>
      </c>
      <c r="F8">
        <f>'customer'!C16</f>
        <v>1</v>
      </c>
    </row>
    <row r="9" spans="1:18" x14ac:dyDescent="0.2">
      <c r="B9">
        <v>4</v>
      </c>
      <c r="C9" t="str">
        <f>'customer'!B16</f>
        <v>Closet</v>
      </c>
      <c r="D9" t="s">
        <v>2</v>
      </c>
      <c r="E9">
        <f>IF('customer'!F16="Yes", 1, 0)</f>
        <v>0</v>
      </c>
      <c r="F9">
        <f>'customer'!C16</f>
        <v>1</v>
      </c>
    </row>
    <row r="10" spans="1:18" x14ac:dyDescent="0.2">
      <c r="B10">
        <v>5</v>
      </c>
      <c r="C10" t="str">
        <f>'customer'!B17</f>
        <v>Dinning room</v>
      </c>
      <c r="D10" t="s">
        <v>29</v>
      </c>
      <c r="E10">
        <v>1</v>
      </c>
      <c r="F10">
        <f>'customer'!C17</f>
        <v>1</v>
      </c>
    </row>
    <row r="11" spans="1:18" x14ac:dyDescent="0.2">
      <c r="B11">
        <v>5</v>
      </c>
      <c r="C11" t="str">
        <f>'customer'!B17</f>
        <v>Dinning room</v>
      </c>
      <c r="D11" t="s">
        <v>2</v>
      </c>
      <c r="E11">
        <f>IF('customer'!F17="Yes", 1, 0)</f>
        <v>1</v>
      </c>
      <c r="F11">
        <f>'customer'!C17</f>
        <v>1</v>
      </c>
    </row>
    <row r="12" spans="1:18" x14ac:dyDescent="0.2">
      <c r="B12">
        <v>6</v>
      </c>
      <c r="C12" t="str">
        <f>'customer'!B18</f>
        <v>Closet</v>
      </c>
      <c r="D12" t="s">
        <v>29</v>
      </c>
      <c r="E12">
        <v>1</v>
      </c>
      <c r="F12">
        <f>'customer'!C18</f>
        <v>5</v>
      </c>
    </row>
    <row r="13" spans="1:18" x14ac:dyDescent="0.2">
      <c r="B13">
        <v>6</v>
      </c>
      <c r="C13" t="str">
        <f>'customer'!B18</f>
        <v>Closet</v>
      </c>
      <c r="D13" t="s">
        <v>2</v>
      </c>
      <c r="E13">
        <f>IF('customer'!F18="Yes", 1, 0)</f>
        <v>1</v>
      </c>
      <c r="F13">
        <f>'customer'!C18</f>
        <v>5</v>
      </c>
    </row>
    <row r="14" spans="1:18" x14ac:dyDescent="0.2">
      <c r="B14">
        <v>7</v>
      </c>
      <c r="C14">
        <f>'customer'!B19</f>
        <v>0</v>
      </c>
      <c r="D14" t="s">
        <v>29</v>
      </c>
      <c r="E14">
        <v>1</v>
      </c>
      <c r="F14">
        <f>'customer'!C19</f>
        <v>0</v>
      </c>
    </row>
    <row r="15" spans="1:18" x14ac:dyDescent="0.2">
      <c r="B15">
        <v>7</v>
      </c>
      <c r="C15">
        <f>'customer'!B19</f>
        <v>0</v>
      </c>
      <c r="D15" t="s">
        <v>2</v>
      </c>
      <c r="E15">
        <f>IF('customer'!F19="Yes", 1, 0)</f>
        <v>0</v>
      </c>
      <c r="F15">
        <f>'customer'!C19</f>
        <v>0</v>
      </c>
    </row>
    <row r="16" spans="1:18" x14ac:dyDescent="0.2">
      <c r="B16">
        <v>8</v>
      </c>
      <c r="C16">
        <f>'customer'!B20</f>
        <v>0</v>
      </c>
      <c r="D16" t="s">
        <v>29</v>
      </c>
      <c r="E16">
        <v>1</v>
      </c>
      <c r="F16">
        <f>'customer'!C20</f>
        <v>0</v>
      </c>
    </row>
    <row r="17" spans="2:6" x14ac:dyDescent="0.2">
      <c r="B17">
        <v>8</v>
      </c>
      <c r="C17">
        <f>'customer'!B20</f>
        <v>0</v>
      </c>
      <c r="D17" t="s">
        <v>2</v>
      </c>
      <c r="E17">
        <f>IF('customer'!F20="Yes", 1, 0)</f>
        <v>0</v>
      </c>
      <c r="F17">
        <f>'customer'!C20</f>
        <v>0</v>
      </c>
    </row>
    <row r="18" spans="2:6" x14ac:dyDescent="0.2">
      <c r="B18">
        <v>9</v>
      </c>
      <c r="C18">
        <f>'customer'!B21</f>
        <v>0</v>
      </c>
      <c r="D18" t="s">
        <v>29</v>
      </c>
      <c r="E18">
        <v>1</v>
      </c>
      <c r="F18">
        <f>'customer'!C21</f>
        <v>0</v>
      </c>
    </row>
    <row r="19" spans="2:6" x14ac:dyDescent="0.2">
      <c r="B19">
        <v>9</v>
      </c>
      <c r="C19">
        <f>'customer'!B21</f>
        <v>0</v>
      </c>
      <c r="D19" t="s">
        <v>2</v>
      </c>
      <c r="E19">
        <f>IF('customer'!F21="Yes", 1, 0)</f>
        <v>0</v>
      </c>
      <c r="F19">
        <f>'customer'!C21</f>
        <v>0</v>
      </c>
    </row>
    <row r="20" spans="2:6" x14ac:dyDescent="0.2">
      <c r="B20">
        <v>10</v>
      </c>
      <c r="C20">
        <f>'customer'!B22</f>
        <v>0</v>
      </c>
      <c r="D20" t="s">
        <v>29</v>
      </c>
      <c r="E20">
        <v>1</v>
      </c>
      <c r="F20">
        <f>'customer'!C22</f>
        <v>0</v>
      </c>
    </row>
    <row r="21" spans="2:6" x14ac:dyDescent="0.2">
      <c r="B21">
        <v>10</v>
      </c>
      <c r="C21">
        <f>'customer'!B22</f>
        <v>0</v>
      </c>
      <c r="D21" t="s">
        <v>2</v>
      </c>
      <c r="E21">
        <f>IF('customer'!F22="Yes", 1, 0)</f>
        <v>1</v>
      </c>
      <c r="F21">
        <f>'customer'!C22</f>
        <v>0</v>
      </c>
    </row>
    <row r="22" spans="2:6" x14ac:dyDescent="0.2">
      <c r="B22">
        <v>11</v>
      </c>
      <c r="C22">
        <f>'customer'!B23</f>
        <v>0</v>
      </c>
      <c r="D22" t="s">
        <v>29</v>
      </c>
      <c r="E22">
        <v>1</v>
      </c>
      <c r="F22">
        <f>'customer'!C23</f>
        <v>0</v>
      </c>
    </row>
    <row r="23" spans="2:6" x14ac:dyDescent="0.2">
      <c r="B23">
        <v>11</v>
      </c>
      <c r="C23">
        <f>'customer'!B23</f>
        <v>0</v>
      </c>
      <c r="D23" t="s">
        <v>2</v>
      </c>
      <c r="E23">
        <f>IF('customer'!F23="Yes", 1, 0)</f>
        <v>1</v>
      </c>
      <c r="F23">
        <f>'customer'!C23</f>
        <v>0</v>
      </c>
    </row>
    <row r="24" spans="2:6" x14ac:dyDescent="0.2">
      <c r="B24">
        <v>12</v>
      </c>
      <c r="C24">
        <f>'customer'!B24</f>
        <v>0</v>
      </c>
      <c r="D24" t="s">
        <v>29</v>
      </c>
      <c r="E24">
        <v>1</v>
      </c>
      <c r="F24">
        <f>'customer'!C24</f>
        <v>0</v>
      </c>
    </row>
    <row r="25" spans="2:6" x14ac:dyDescent="0.2">
      <c r="B25">
        <v>12</v>
      </c>
      <c r="C25">
        <f>'customer'!B24</f>
        <v>0</v>
      </c>
      <c r="D25" t="s">
        <v>2</v>
      </c>
      <c r="E25">
        <f>IF('customer'!F24="Yes", 1, 0)</f>
        <v>0</v>
      </c>
      <c r="F25">
        <f>'customer'!C24</f>
        <v>0</v>
      </c>
    </row>
    <row r="26" spans="2:6" x14ac:dyDescent="0.2">
      <c r="B26">
        <v>13</v>
      </c>
      <c r="C26">
        <f>'customer'!B25</f>
        <v>0</v>
      </c>
      <c r="D26" t="s">
        <v>29</v>
      </c>
      <c r="E26">
        <v>1</v>
      </c>
      <c r="F26">
        <f>'customer'!C25</f>
        <v>0</v>
      </c>
    </row>
    <row r="27" spans="2:6" x14ac:dyDescent="0.2">
      <c r="B27">
        <v>13</v>
      </c>
      <c r="C27">
        <f>'customer'!B25</f>
        <v>0</v>
      </c>
      <c r="D27" t="s">
        <v>2</v>
      </c>
      <c r="E27">
        <f>IF('customer'!F25="Yes", 1, 0)</f>
        <v>0</v>
      </c>
      <c r="F27">
        <f>'customer'!C25</f>
        <v>0</v>
      </c>
    </row>
    <row r="28" spans="2:6" x14ac:dyDescent="0.2">
      <c r="B28">
        <v>14</v>
      </c>
      <c r="C28">
        <f>'customer'!B26</f>
        <v>0</v>
      </c>
      <c r="D28" t="s">
        <v>29</v>
      </c>
      <c r="E28">
        <v>1</v>
      </c>
      <c r="F28">
        <f>'customer'!C26</f>
        <v>0</v>
      </c>
    </row>
    <row r="29" spans="2:6" x14ac:dyDescent="0.2">
      <c r="B29">
        <v>14</v>
      </c>
      <c r="C29">
        <f>'customer'!B26</f>
        <v>0</v>
      </c>
      <c r="D29" t="s">
        <v>2</v>
      </c>
      <c r="E29">
        <f>IF('customer'!F26="Yes", 1, 0)</f>
        <v>0</v>
      </c>
      <c r="F29">
        <f>'customer'!C26</f>
        <v>0</v>
      </c>
    </row>
    <row r="30" spans="2:6" x14ac:dyDescent="0.2">
      <c r="B30">
        <v>15</v>
      </c>
      <c r="C30">
        <f>'customer'!B27</f>
        <v>0</v>
      </c>
      <c r="D30" t="s">
        <v>29</v>
      </c>
      <c r="E30">
        <v>1</v>
      </c>
      <c r="F30">
        <f>'customer'!C27</f>
        <v>0</v>
      </c>
    </row>
    <row r="31" spans="2:6" x14ac:dyDescent="0.2">
      <c r="B31">
        <v>15</v>
      </c>
      <c r="C31">
        <f>'customer'!B27</f>
        <v>0</v>
      </c>
      <c r="D31" t="s">
        <v>2</v>
      </c>
      <c r="E31">
        <f>IF('customer'!F27="Yes", 1, 0)</f>
        <v>1</v>
      </c>
      <c r="F31">
        <f>'customer'!C27</f>
        <v>0</v>
      </c>
    </row>
    <row r="34" spans="1:2" x14ac:dyDescent="0.2">
      <c r="A34" t="s">
        <v>44</v>
      </c>
      <c r="B34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40B2D1-844D-5441-A204-821F16DB4F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Qiduo He</dc:creator>
  <cp:lastModifiedBy>Qiduo He</cp:lastModifiedBy>
  <cp:lastPrinted>2025-10-20T00:34:33Z</cp:lastPrinted>
  <dcterms:created xsi:type="dcterms:W3CDTF">2025-10-19T21:02:31Z</dcterms:created>
  <dcterms:modified xsi:type="dcterms:W3CDTF">2025-11-05T19:58:43Z</dcterms:modified>
</cp:coreProperties>
</file>