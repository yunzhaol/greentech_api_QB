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ki3/Desktop/Grad Year/MDA 9160/Industry Project/GreenTech-Project/Data/"/>
    </mc:Choice>
  </mc:AlternateContent>
  <xr:revisionPtr revIDLastSave="0" documentId="13_ncr:1_{C7B8520F-1F5C-4C43-918E-09EEB1AA4C1B}" xr6:coauthVersionLast="47" xr6:coauthVersionMax="47" xr10:uidLastSave="{00000000-0000-0000-0000-000000000000}"/>
  <bookViews>
    <workbookView xWindow="4580" yWindow="500" windowWidth="24220" windowHeight="15540" activeTab="2" xr2:uid="{9322F552-2F38-1440-BF75-B819B8DC134A}"/>
  </bookViews>
  <sheets>
    <sheet name="customer " sheetId="12" r:id="rId1"/>
    <sheet name="dropdowns" sheetId="14" r:id="rId2"/>
    <sheet name="python" sheetId="13" r:id="rId3"/>
    <sheet name="Sheet2" sheetId="15" r:id="rId4"/>
    <sheet name="Sheet3" sheetId="16" r:id="rId5"/>
  </sheets>
  <externalReferences>
    <externalReference r:id="rId6"/>
  </externalReferences>
  <definedNames>
    <definedName name="Area">'customer '!$B$13:$B$27</definedName>
    <definedName name="Baseboard">'customer '!$G$13:$G$27</definedName>
    <definedName name="Ceiling">'customer '!$F$13:$F$27</definedName>
    <definedName name="Depth">'customer '!$D$13:$D$27</definedName>
    <definedName name="Entry">Sheet2!$B$7</definedName>
    <definedName name="Finish">'customer '!$I$13:$I$27</definedName>
    <definedName name="Height">'customer '!$E$13:$E$27</definedName>
    <definedName name="Items">'customer '!$A$13:$A$27</definedName>
    <definedName name="Name">'customer '!$B$4</definedName>
    <definedName name="Options">dropdowns!$A$2:$A$25</definedName>
    <definedName name="Primer">'customer '!$H$13:$H$27</definedName>
    <definedName name="ServiceTable">Sheet3!$A$1:$G$18</definedName>
    <definedName name="Tax">'customer '!$G$6</definedName>
    <definedName name="Type">dropdowns!$B$2:$B$4</definedName>
    <definedName name="Width">'customer '!$C$13:$C$27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3" l="1" a="1"/>
  <c r="L2" i="13" s="1"/>
  <c r="L3" i="13" a="1"/>
  <c r="L3" i="13"/>
  <c r="L4" i="13" a="1"/>
  <c r="L4" i="13" s="1"/>
  <c r="L5" i="13" a="1"/>
  <c r="L5" i="13" s="1"/>
  <c r="L6" i="13" a="1"/>
  <c r="L6" i="13" s="1"/>
  <c r="L7" i="13" a="1"/>
  <c r="L7" i="13"/>
  <c r="L8" i="13" a="1"/>
  <c r="L8" i="13"/>
  <c r="L9" i="13" a="1"/>
  <c r="L9" i="13"/>
  <c r="L10" i="13" a="1"/>
  <c r="L10" i="13" s="1"/>
  <c r="L11" i="13" a="1"/>
  <c r="L11" i="13" s="1"/>
  <c r="L12" i="13" a="1"/>
  <c r="L12" i="13"/>
  <c r="L13" i="13" a="1"/>
  <c r="L13" i="13"/>
  <c r="L14" i="13" a="1"/>
  <c r="L14" i="13" s="1"/>
  <c r="L15" i="13" a="1"/>
  <c r="L15" i="13"/>
  <c r="L16" i="13" a="1"/>
  <c r="L16" i="13"/>
  <c r="L17" i="13" a="1"/>
  <c r="L17" i="13"/>
  <c r="K2" i="13" a="1"/>
  <c r="K2" i="13" s="1"/>
  <c r="K3" i="13" a="1"/>
  <c r="K3" i="13" s="1"/>
  <c r="K4" i="13" a="1"/>
  <c r="K4" i="13" s="1"/>
  <c r="K5" i="13" a="1"/>
  <c r="K5" i="13" s="1"/>
  <c r="K6" i="13" a="1"/>
  <c r="K6" i="13" s="1"/>
  <c r="K7" i="13" a="1"/>
  <c r="K7" i="13" s="1"/>
  <c r="K8" i="13" a="1"/>
  <c r="K8" i="13" s="1"/>
  <c r="K9" i="13" a="1"/>
  <c r="K9" i="13"/>
  <c r="K10" i="13" a="1"/>
  <c r="K10" i="13" s="1"/>
  <c r="K11" i="13" a="1"/>
  <c r="K11" i="13" s="1"/>
  <c r="K12" i="13" a="1"/>
  <c r="K12" i="13"/>
  <c r="K13" i="13" a="1"/>
  <c r="K13" i="13"/>
  <c r="K14" i="13" a="1"/>
  <c r="K14" i="13" s="1"/>
  <c r="K15" i="13" a="1"/>
  <c r="K15" i="13" s="1"/>
  <c r="K16" i="13" a="1"/>
  <c r="K16" i="13"/>
  <c r="K17" i="13" a="1"/>
  <c r="K17" i="13"/>
  <c r="E2" i="13" a="1"/>
  <c r="E2" i="13" s="1"/>
  <c r="C2" i="14" a="1"/>
  <c r="C2" i="14" s="1"/>
  <c r="C3" i="14" a="1"/>
  <c r="C3" i="14"/>
  <c r="C4" i="14" a="1"/>
  <c r="C4" i="14" s="1"/>
  <c r="C5" i="14" a="1"/>
  <c r="C5" i="14" s="1"/>
  <c r="C6" i="14" a="1"/>
  <c r="C6" i="14" s="1"/>
  <c r="C7" i="14" a="1"/>
  <c r="C7" i="14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/>
  <c r="C16" i="14" a="1"/>
  <c r="C16" i="14" s="1"/>
  <c r="C17" i="14" a="1"/>
  <c r="C17" i="14" s="1"/>
  <c r="C18" i="14" a="1"/>
  <c r="C18" i="14" s="1"/>
  <c r="C19" i="14" a="1"/>
  <c r="C19" i="14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E3" i="14" a="1"/>
  <c r="E3" i="14" s="1"/>
  <c r="C2" i="13" a="1"/>
  <c r="C2" i="13" s="1"/>
  <c r="H2" i="13" a="1"/>
  <c r="H2" i="13" s="1"/>
  <c r="H3" i="13" a="1"/>
  <c r="H3" i="13" s="1"/>
  <c r="H4" i="13" a="1"/>
  <c r="H4" i="13" s="1"/>
  <c r="H5" i="13" a="1"/>
  <c r="H5" i="13" s="1"/>
  <c r="H6" i="13" a="1"/>
  <c r="H6" i="13" s="1"/>
  <c r="H7" i="13" a="1"/>
  <c r="H7" i="13" s="1"/>
  <c r="H8" i="13" a="1"/>
  <c r="H8" i="13" s="1"/>
  <c r="H9" i="13" a="1"/>
  <c r="H9" i="13" s="1"/>
  <c r="H10" i="13" a="1"/>
  <c r="H10" i="13" s="1"/>
  <c r="H11" i="13" a="1"/>
  <c r="H11" i="13" s="1"/>
  <c r="H12" i="13" a="1"/>
  <c r="H12" i="13" s="1"/>
  <c r="H13" i="13" a="1"/>
  <c r="H13" i="13" s="1"/>
  <c r="H14" i="13" a="1"/>
  <c r="H14" i="13" s="1"/>
  <c r="H15" i="13" a="1"/>
  <c r="H15" i="13" s="1"/>
  <c r="H16" i="13" a="1"/>
  <c r="H16" i="13" s="1"/>
  <c r="H17" i="13" a="1"/>
  <c r="H17" i="13" s="1"/>
  <c r="G2" i="13" a="1"/>
  <c r="G2" i="13" s="1"/>
  <c r="G3" i="13" a="1"/>
  <c r="G3" i="13" s="1"/>
  <c r="G4" i="13" a="1"/>
  <c r="G4" i="13" s="1"/>
  <c r="G5" i="13" a="1"/>
  <c r="G5" i="13" s="1"/>
  <c r="G6" i="13" a="1"/>
  <c r="G6" i="13" s="1"/>
  <c r="G7" i="13" a="1"/>
  <c r="G7" i="13" s="1"/>
  <c r="G8" i="13" a="1"/>
  <c r="G8" i="13" s="1"/>
  <c r="G9" i="13" a="1"/>
  <c r="G9" i="13" s="1"/>
  <c r="G10" i="13" a="1"/>
  <c r="G10" i="13" s="1"/>
  <c r="G11" i="13" a="1"/>
  <c r="G11" i="13" s="1"/>
  <c r="G12" i="13" a="1"/>
  <c r="G12" i="13" s="1"/>
  <c r="G13" i="13" a="1"/>
  <c r="G13" i="13" s="1"/>
  <c r="G14" i="13" a="1"/>
  <c r="G14" i="13" s="1"/>
  <c r="G15" i="13" a="1"/>
  <c r="G15" i="13" s="1"/>
  <c r="G16" i="13" a="1"/>
  <c r="G16" i="13" s="1"/>
  <c r="G17" i="13" a="1"/>
  <c r="G17" i="13" s="1"/>
  <c r="F2" i="13" a="1"/>
  <c r="F2" i="13" s="1"/>
  <c r="F3" i="13" a="1"/>
  <c r="F3" i="13" s="1"/>
  <c r="F4" i="13" a="1"/>
  <c r="F4" i="13" s="1"/>
  <c r="F5" i="13" a="1"/>
  <c r="F5" i="13" s="1"/>
  <c r="F6" i="13" a="1"/>
  <c r="F6" i="13" s="1"/>
  <c r="F7" i="13" a="1"/>
  <c r="F7" i="13" s="1"/>
  <c r="F8" i="13" a="1"/>
  <c r="F8" i="13" s="1"/>
  <c r="F9" i="13" a="1"/>
  <c r="F9" i="13" s="1"/>
  <c r="F10" i="13" a="1"/>
  <c r="F10" i="13" s="1"/>
  <c r="F11" i="13" a="1"/>
  <c r="F11" i="13" s="1"/>
  <c r="F12" i="13" a="1"/>
  <c r="F12" i="13" s="1"/>
  <c r="F13" i="13" a="1"/>
  <c r="F13" i="13" s="1"/>
  <c r="F14" i="13" a="1"/>
  <c r="F14" i="13" s="1"/>
  <c r="F15" i="13" a="1"/>
  <c r="F15" i="13" s="1"/>
  <c r="F16" i="13" a="1"/>
  <c r="F16" i="13" s="1"/>
  <c r="F17" i="13" a="1"/>
  <c r="F17" i="13" s="1"/>
  <c r="E3" i="13" a="1"/>
  <c r="E3" i="13" s="1"/>
  <c r="E4" i="13" a="1"/>
  <c r="E4" i="13" s="1"/>
  <c r="E5" i="13" a="1"/>
  <c r="E5" i="13" s="1"/>
  <c r="E6" i="13" a="1"/>
  <c r="E6" i="13" s="1"/>
  <c r="E7" i="13" a="1"/>
  <c r="E7" i="13" s="1"/>
  <c r="E8" i="13" a="1"/>
  <c r="E8" i="13" s="1"/>
  <c r="E9" i="13" a="1"/>
  <c r="E9" i="13" s="1"/>
  <c r="E10" i="13" a="1"/>
  <c r="E10" i="13" s="1"/>
  <c r="E11" i="13" a="1"/>
  <c r="E11" i="13" s="1"/>
  <c r="E12" i="13" a="1"/>
  <c r="E12" i="13" s="1"/>
  <c r="E13" i="13" a="1"/>
  <c r="E13" i="13" s="1"/>
  <c r="E14" i="13" a="1"/>
  <c r="E14" i="13" s="1"/>
  <c r="E15" i="13" a="1"/>
  <c r="E15" i="13" s="1"/>
  <c r="E16" i="13" a="1"/>
  <c r="E16" i="13" s="1"/>
  <c r="E17" i="13" a="1"/>
  <c r="E17" i="13" s="1"/>
  <c r="D2" i="13" a="1"/>
  <c r="D2" i="13" s="1"/>
  <c r="D3" i="13" a="1"/>
  <c r="D3" i="13" s="1"/>
  <c r="D4" i="13" a="1"/>
  <c r="D4" i="13" s="1"/>
  <c r="D5" i="13" a="1"/>
  <c r="D5" i="13" s="1"/>
  <c r="D6" i="13" a="1"/>
  <c r="D6" i="13" s="1"/>
  <c r="D7" i="13" a="1"/>
  <c r="D7" i="13" s="1"/>
  <c r="D8" i="13" a="1"/>
  <c r="D8" i="13" s="1"/>
  <c r="D9" i="13" a="1"/>
  <c r="D9" i="13" s="1"/>
  <c r="D10" i="13" a="1"/>
  <c r="D10" i="13" s="1"/>
  <c r="D11" i="13" a="1"/>
  <c r="D11" i="13" s="1"/>
  <c r="D12" i="13" a="1"/>
  <c r="D12" i="13" s="1"/>
  <c r="D13" i="13" a="1"/>
  <c r="D13" i="13" s="1"/>
  <c r="D14" i="13" a="1"/>
  <c r="D14" i="13" s="1"/>
  <c r="D15" i="13" a="1"/>
  <c r="D15" i="13" s="1"/>
  <c r="D16" i="13" a="1"/>
  <c r="D16" i="13" s="1"/>
  <c r="D17" i="13" a="1"/>
  <c r="D17" i="13" s="1"/>
  <c r="A2" i="13" l="1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B2" i="13" a="1"/>
  <c r="B2" i="13" s="1"/>
  <c r="B3" i="13" a="1"/>
  <c r="B3" i="13" s="1"/>
  <c r="B4" i="13" a="1"/>
  <c r="B4" i="13" s="1"/>
  <c r="B5" i="13" a="1"/>
  <c r="B5" i="13" s="1"/>
  <c r="B6" i="13" a="1"/>
  <c r="B6" i="13" s="1"/>
  <c r="B7" i="13" a="1"/>
  <c r="B7" i="13" s="1"/>
  <c r="B8" i="13" a="1"/>
  <c r="B8" i="13" s="1"/>
  <c r="B9" i="13" a="1"/>
  <c r="B9" i="13" s="1"/>
  <c r="B10" i="13" a="1"/>
  <c r="B10" i="13" s="1"/>
  <c r="B11" i="13" a="1"/>
  <c r="B11" i="13" s="1"/>
  <c r="B12" i="13" a="1"/>
  <c r="B12" i="13" s="1"/>
  <c r="B13" i="13" a="1"/>
  <c r="B13" i="13" s="1"/>
  <c r="B14" i="13" a="1"/>
  <c r="B14" i="13" s="1"/>
  <c r="B15" i="13" a="1"/>
  <c r="B15" i="13" s="1"/>
  <c r="B16" i="13" a="1"/>
  <c r="B16" i="13" s="1"/>
  <c r="B17" i="13" a="1"/>
  <c r="B17" i="13" s="1"/>
  <c r="C3" i="13" a="1"/>
  <c r="C3" i="13" s="1"/>
  <c r="C4" i="13" a="1"/>
  <c r="C4" i="13" s="1"/>
  <c r="C5" i="13" a="1"/>
  <c r="C5" i="13" s="1"/>
  <c r="C6" i="13" a="1"/>
  <c r="C6" i="13" s="1"/>
  <c r="C7" i="13" a="1"/>
  <c r="C7" i="13" s="1"/>
  <c r="C8" i="13" a="1"/>
  <c r="C8" i="13" s="1"/>
  <c r="C9" i="13" a="1"/>
  <c r="C9" i="13" s="1"/>
  <c r="C10" i="13" a="1"/>
  <c r="C10" i="13" s="1"/>
  <c r="C11" i="13" a="1"/>
  <c r="C11" i="13" s="1"/>
  <c r="C12" i="13" a="1"/>
  <c r="C12" i="13" s="1"/>
  <c r="C13" i="13" a="1"/>
  <c r="C13" i="13" s="1"/>
  <c r="C14" i="13" a="1"/>
  <c r="C14" i="13" s="1"/>
  <c r="C15" i="13" a="1"/>
  <c r="C15" i="13" s="1"/>
  <c r="C16" i="13" a="1"/>
  <c r="C16" i="13" s="1"/>
  <c r="C17" i="13" a="1"/>
  <c r="C17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BF54B-905E-3543-AC94-F815238AB421}" keepAlive="1" interval="30" name="Query - Paint Unified" description="Connection to the 'Paint Unified' query in the workbook." type="5" refreshedVersion="8" background="1" refreshOnLoad="1" saveData="1">
    <dbPr connection="Provider=Microsoft.Mashup.OleDb.1;Data Source=$Workbook$;Location=&quot;Paint Unified&quot;;Extended Properties=&quot;&quot;" command="SELECT * FROM [Paint Unifie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<sst xmlns="http://schemas.openxmlformats.org/spreadsheetml/2006/main" count="129" uniqueCount="84">
  <si>
    <t>Ceiling</t>
  </si>
  <si>
    <t>Finish</t>
  </si>
  <si>
    <t>Primer</t>
  </si>
  <si>
    <t>One and a half wood door</t>
  </si>
  <si>
    <t>Bi-fold wood door</t>
  </si>
  <si>
    <t>Single Metal man door</t>
  </si>
  <si>
    <t>Baseboard</t>
  </si>
  <si>
    <t>Crownmolding</t>
  </si>
  <si>
    <t>Name:</t>
  </si>
  <si>
    <t>Project type</t>
  </si>
  <si>
    <t>Address:</t>
  </si>
  <si>
    <t>Phone:</t>
  </si>
  <si>
    <t>Date:</t>
  </si>
  <si>
    <t>Area</t>
  </si>
  <si>
    <t>Area dimensions</t>
  </si>
  <si>
    <t>Depth (Ft)</t>
  </si>
  <si>
    <t>Height (ft)</t>
  </si>
  <si>
    <t>Doors and accesories (Labor and paint)</t>
  </si>
  <si>
    <t>Doors</t>
  </si>
  <si>
    <t>QTY</t>
  </si>
  <si>
    <t>Coats</t>
  </si>
  <si>
    <t>Accessories</t>
  </si>
  <si>
    <t>Ft</t>
  </si>
  <si>
    <t>Number</t>
  </si>
  <si>
    <t>Tax:</t>
  </si>
  <si>
    <t>item</t>
  </si>
  <si>
    <t>Area_Name</t>
  </si>
  <si>
    <t>Kitchen</t>
  </si>
  <si>
    <t>Depth</t>
  </si>
  <si>
    <t>Height</t>
  </si>
  <si>
    <t>special_labor</t>
  </si>
  <si>
    <t>Hr_special_labor</t>
  </si>
  <si>
    <t>Primer_coats</t>
  </si>
  <si>
    <t>Finish_coat</t>
  </si>
  <si>
    <t>gallon</t>
  </si>
  <si>
    <t>discount</t>
  </si>
  <si>
    <t>Baseboard_length</t>
  </si>
  <si>
    <t>Width (Ft)</t>
  </si>
  <si>
    <t>Email:</t>
  </si>
  <si>
    <t>Bedroom</t>
  </si>
  <si>
    <t>Kiara Burcher</t>
  </si>
  <si>
    <t>Basement</t>
  </si>
  <si>
    <t>Bathroom</t>
  </si>
  <si>
    <t>Closet</t>
  </si>
  <si>
    <t>Dinning room</t>
  </si>
  <si>
    <t xml:space="preserve">Entrance </t>
  </si>
  <si>
    <t>Foyer</t>
  </si>
  <si>
    <t>Garage</t>
  </si>
  <si>
    <t>Half-Bath</t>
  </si>
  <si>
    <t>Hallway</t>
  </si>
  <si>
    <t>Home Office</t>
  </si>
  <si>
    <t>Laundry room</t>
  </si>
  <si>
    <t>Library</t>
  </si>
  <si>
    <t>Living room</t>
  </si>
  <si>
    <t>Master bedroom</t>
  </si>
  <si>
    <t>Mechanical room</t>
  </si>
  <si>
    <t>Room 1</t>
  </si>
  <si>
    <t>Room 2</t>
  </si>
  <si>
    <t>Stairwell</t>
  </si>
  <si>
    <t>Storage room</t>
  </si>
  <si>
    <t>Sunroom</t>
  </si>
  <si>
    <t>TV room</t>
  </si>
  <si>
    <t>Walk-in Closet</t>
  </si>
  <si>
    <t>Room Option</t>
  </si>
  <si>
    <t>Project Type</t>
  </si>
  <si>
    <t>Commercial</t>
  </si>
  <si>
    <t>Standard</t>
  </si>
  <si>
    <t xml:space="preserve">Special </t>
  </si>
  <si>
    <t>Width</t>
  </si>
  <si>
    <t>Entry Option:</t>
  </si>
  <si>
    <t>Service</t>
  </si>
  <si>
    <t>Wall Painting</t>
  </si>
  <si>
    <t>Ceiling Painting</t>
  </si>
  <si>
    <t>Trims and Baseboards</t>
  </si>
  <si>
    <t>Ceiling painting</t>
  </si>
  <si>
    <t>Trims and Baseboard</t>
  </si>
  <si>
    <t>Ceiling?</t>
  </si>
  <si>
    <t>Baseboard?</t>
  </si>
  <si>
    <t>Ceiling Finish Type</t>
  </si>
  <si>
    <t>Finish Type</t>
  </si>
  <si>
    <t>Wall</t>
  </si>
  <si>
    <t>Finish Types</t>
  </si>
  <si>
    <t>Name</t>
  </si>
  <si>
    <t>Wall Finish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</si>
</sst>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0"/>
      <color rgb="FF0C0D0E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rgb="FF000000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indexed="64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3" borderId="0" xfId="0" applyFont="1" applyFill="1"/>
    <xf numFmtId="0" fontId="1" fillId="3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4" fontId="2" fillId="0" borderId="28" xfId="0" applyNumberFormat="1" applyFont="1" applyBorder="1"/>
    <xf numFmtId="0" fontId="1" fillId="0" borderId="0" xfId="0" applyFont="1" applyAlignment="1">
      <alignment horizontal="center"/>
    </xf>
    <xf numFmtId="44" fontId="2" fillId="0" borderId="16" xfId="0" applyNumberFormat="1" applyFont="1" applyBorder="1"/>
    <xf numFmtId="0" fontId="1" fillId="0" borderId="29" xfId="0" applyFont="1" applyBorder="1" applyAlignment="1">
      <alignment horizontal="center"/>
    </xf>
    <xf numFmtId="44" fontId="2" fillId="0" borderId="30" xfId="0" applyNumberFormat="1" applyFont="1" applyBorder="1"/>
    <xf numFmtId="1" fontId="1" fillId="0" borderId="0" xfId="0" applyNumberFormat="1" applyFont="1" applyAlignment="1">
      <alignment horizontal="center"/>
    </xf>
    <xf numFmtId="0" fontId="1" fillId="3" borderId="29" xfId="0" applyFont="1" applyFill="1" applyBorder="1" applyAlignment="1">
      <alignment horizontal="center"/>
    </xf>
    <xf numFmtId="44" fontId="5" fillId="4" borderId="0" xfId="0" applyNumberFormat="1" applyFont="1" applyFill="1"/>
    <xf numFmtId="9" fontId="1" fillId="3" borderId="0" xfId="0" applyNumberFormat="1" applyFont="1" applyFill="1"/>
    <xf numFmtId="0" fontId="5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2" fillId="3" borderId="0" xfId="0" applyFont="1" applyFill="1" applyAlignment="1">
      <alignment horizontal="center"/>
    </xf>
    <xf numFmtId="44" fontId="2" fillId="0" borderId="0" xfId="0" applyNumberFormat="1" applyFont="1"/>
    <xf numFmtId="0" fontId="1" fillId="4" borderId="1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right" vertical="center"/>
    </xf>
    <xf numFmtId="0" fontId="6" fillId="4" borderId="0" xfId="0" applyFont="1" applyFill="1" applyAlignment="1">
      <alignment horizontal="right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right" vertical="center"/>
    </xf>
    <xf numFmtId="0" fontId="3" fillId="4" borderId="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vertical="center"/>
    </xf>
    <xf numFmtId="0" fontId="2" fillId="3" borderId="35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786</xdr:col>
      <xdr:colOff>609600</xdr:colOff>
      <xdr:row>268</xdr:row>
      <xdr:rowOff>101600</xdr:rowOff>
    </xdr:from>
    <xdr:to>
      <xdr:col>788</xdr:col>
      <xdr:colOff>287888</xdr:colOff>
      <xdr:row>273</xdr:row>
      <xdr:rowOff>187551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"/>
        <a:stretch/>
      </xdr:blipFill>
      <xdr:spPr bwMode="auto">
        <a:xfrm>
          <a:off x="650524716" y="55538577"/>
          <a:ext cx="1332242" cy="1119672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</xdr:pic>
    <xdr:clientData/>
  </xdr:twoCellAnchor>
  <xdr:twoCellAnchor>
    <xdr:from>
      <xdr:col>810</xdr:col>
      <xdr:colOff>609600</xdr:colOff>
      <xdr:row>1133</xdr:row>
      <xdr:rowOff>63500</xdr:rowOff>
    </xdr:from>
    <xdr:to>
      <xdr:col>812</xdr:col>
      <xdr:colOff>15875</xdr:colOff>
      <xdr:row>1134</xdr:row>
      <xdr:rowOff>71936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372158" y="234334198"/>
          <a:ext cx="1060229" cy="215180"/>
        </a:xfrm>
        <a:prstGeom prst="rect">
          <a:avLst/>
        </a:prstGeom>
        <a:solidFill>
          <a:schemeClr val="bg2">
            <a:lumMod val="25000"/>
          </a:schemeClr>
        </a:solidFill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</xdr:pic>
    <xdr:clientData/>
  </xdr:twoCellAnchor>
  <xdr:twoCellAnchor>
    <xdr:from>
      <xdr:col>330</xdr:col>
      <xdr:colOff>38100</xdr:colOff>
      <xdr:row>5857</xdr:row>
      <xdr:rowOff>190500</xdr:rowOff>
    </xdr:from>
    <xdr:to>
      <xdr:col>330</xdr:col>
      <xdr:colOff>698934</xdr:colOff>
      <xdr:row>5861</xdr:row>
      <xdr:rowOff>19214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851821" y="1211120733"/>
          <a:ext cx="660834" cy="655690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</xdr:pic>
    <xdr:clientData/>
  </xdr:twoCellAnchor>
  <xdr:twoCellAnchor>
    <xdr:from>
      <xdr:col>36</xdr:col>
      <xdr:colOff>800100</xdr:colOff>
      <xdr:row>5824</xdr:row>
      <xdr:rowOff>12700</xdr:rowOff>
    </xdr:from>
    <xdr:to>
      <xdr:col>38</xdr:col>
      <xdr:colOff>388772</xdr:colOff>
      <xdr:row>5828</xdr:row>
      <xdr:rowOff>4398</xdr:rowOff>
    </xdr:to>
    <xdr:pic>
      <xdr:nvPicPr>
        <xdr:cNvPr id="5" name="Picture 4" descr="Image result for GREEN BUSINESS BUREAU PLATINUM SEA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0482658" y="1204120374"/>
          <a:ext cx="1242626" cy="81867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</xdr:pic>
    <xdr:clientData/>
  </xdr:twoCellAnchor>
  <xdr:twoCellAnchor>
    <xdr:from>
      <xdr:col>179</xdr:col>
      <xdr:colOff>431800</xdr:colOff>
      <xdr:row>5880</xdr:row>
      <xdr:rowOff>114299</xdr:rowOff>
    </xdr:from>
    <xdr:to>
      <xdr:col>181</xdr:col>
      <xdr:colOff>84906</xdr:colOff>
      <xdr:row>5883</xdr:row>
      <xdr:rowOff>20602</xdr:rowOff>
    </xdr:to>
    <xdr:pic>
      <xdr:nvPicPr>
        <xdr:cNvPr id="6" name="Picture 5" descr="Image result for BBB ACCREDITED BUSINESS SEAL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8372033" y="1215799648"/>
          <a:ext cx="1307059" cy="52653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</xdr:pic>
    <xdr:clientData/>
  </xdr:twoCellAnchor>
  <xdr:twoCellAnchor>
    <xdr:from>
      <xdr:col>405</xdr:col>
      <xdr:colOff>812800</xdr:colOff>
      <xdr:row>5880</xdr:row>
      <xdr:rowOff>114301</xdr:rowOff>
    </xdr:from>
    <xdr:to>
      <xdr:col>407</xdr:col>
      <xdr:colOff>37457</xdr:colOff>
      <xdr:row>5882</xdr:row>
      <xdr:rowOff>199665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35649777" y="1215799650"/>
          <a:ext cx="878610" cy="498852"/>
        </a:xfrm>
        <a:prstGeom prst="rect">
          <a:avLst/>
        </a:prstGeom>
        <a:solidFill>
          <a:schemeClr val="bg2">
            <a:lumMod val="25000"/>
          </a:schemeClr>
        </a:solidFill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</xdr:pic>
    <xdr:clientData/>
  </xdr:twoCellAnchor>
  <xdr:twoCellAnchor>
    <xdr:from>
      <xdr:col>507</xdr:col>
      <xdr:colOff>190500</xdr:colOff>
      <xdr:row>5874</xdr:row>
      <xdr:rowOff>177799</xdr:rowOff>
    </xdr:from>
    <xdr:to>
      <xdr:col>508</xdr:col>
      <xdr:colOff>519024</xdr:colOff>
      <xdr:row>5877</xdr:row>
      <xdr:rowOff>91866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19379105" y="1214622683"/>
          <a:ext cx="1155500" cy="534299"/>
        </a:xfrm>
        <a:prstGeom prst="rect">
          <a:avLst/>
        </a:prstGeom>
        <a:solidFill>
          <a:schemeClr val="bg2">
            <a:lumMod val="25000"/>
          </a:schemeClr>
        </a:solidFill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</xdr:pic>
    <xdr:clientData/>
  </xdr:twoCellAnchor>
  <xdr:twoCellAnchor>
    <xdr:from>
      <xdr:col>11</xdr:col>
      <xdr:colOff>191977</xdr:colOff>
      <xdr:row>13</xdr:row>
      <xdr:rowOff>103372</xdr:rowOff>
    </xdr:from>
    <xdr:to>
      <xdr:col>12</xdr:col>
      <xdr:colOff>605465</xdr:colOff>
      <xdr:row>14</xdr:row>
      <xdr:rowOff>191976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78343338-BA71-AD62-DBA7-CE04ADA60388}"/>
            </a:ext>
          </a:extLst>
        </xdr:cNvPr>
        <xdr:cNvSpPr/>
      </xdr:nvSpPr>
      <xdr:spPr>
        <a:xfrm>
          <a:off x="8373140" y="2791046"/>
          <a:ext cx="1240465" cy="295349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Add Item</a:t>
          </a:r>
        </a:p>
      </xdr:txBody>
    </xdr:sp>
    <xdr:clientData/>
  </xdr:twoCellAnchor>
  <xdr:twoCellAnchor>
    <xdr:from>
      <xdr:col>11</xdr:col>
      <xdr:colOff>206744</xdr:colOff>
      <xdr:row>16</xdr:row>
      <xdr:rowOff>103372</xdr:rowOff>
    </xdr:from>
    <xdr:to>
      <xdr:col>12</xdr:col>
      <xdr:colOff>620232</xdr:colOff>
      <xdr:row>17</xdr:row>
      <xdr:rowOff>191977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ACC108FB-DB5D-1541-9FF6-E531383BD0BE}"/>
            </a:ext>
          </a:extLst>
        </xdr:cNvPr>
        <xdr:cNvSpPr/>
      </xdr:nvSpPr>
      <xdr:spPr>
        <a:xfrm>
          <a:off x="8387907" y="3411279"/>
          <a:ext cx="1240465" cy="295349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Delete Item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ki3/Desktop/Grad%20Year/MDA%209160/Industry%20Project/GreenTech-Project/Data/Price.xlsx" TargetMode="External"/><Relationship Id="rId1" Type="http://schemas.openxmlformats.org/officeDocument/2006/relationships/externalLinkPath" Target="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es_Master_Paint"/>
      <sheetName val="Paint_Prices"/>
    </sheetNames>
    <sheetDataSet>
      <sheetData sheetId="0"/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EAAC2-DF84-024E-A136-FB54CE1F3D23}" name="Table2" displayName="Table2" ref="A1:C25" totalsRowShown="0">
  <autoFilter ref="A1:C25" xr:uid="{E5EEAAC2-DF84-024E-A136-FB54CE1F3D23}"/>
  <tableColumns count="3">
    <tableColumn id="1" xr3:uid="{C61342DB-A6D5-4B43-B45C-1895405F6C15}" name="Room Option"/>
    <tableColumn id="2" xr3:uid="{F8AF6A70-6B45-2940-BD1B-8385CDB6B606}" name="Project Type"/>
    <tableColumn id="3" xr3:uid="{091DEEFF-CB91-E54A-B0A4-9AE0BFC02469}" name="Finish Types" dataDxfId="2">
      <calculatedColumnFormula array="1">IFERROR(IF(INDEX(_xlfn._xlws.FILTER([1]!Table_Paint_Unified[[ Description ]], ISNUMBER(SEARCH("Finish", [1]!Table_Paint_Unified[Application]))),ROWS(A$1:A1))=0,"", INDEX(_xlfn._xlws.FILTER([1]!Table_Paint_Unified[[ Description ]], ISNUMBER(SEARCH("Finish", [1]!Table_Paint_Unified[Application]))),ROWS(A$1:A1))),"")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F7E68-B062-AF4D-AD88-107BA04835A2}" name="Table1" displayName="Table1" ref="A1:Q17" totalsRowShown="0">
  <autoFilter ref="A1:Q17" xr:uid="{1D4F7E68-B062-AF4D-AD88-107BA04835A2}"/>
  <tableColumns count="17">
    <tableColumn id="1" xr3:uid="{0E94C83D-3017-2242-8822-8C2E3769C268}" name="Name" dataDxfId="8">
      <calculatedColumnFormula>IF(Name&lt;&gt;0, Name, "")</calculatedColumnFormula>
    </tableColumn>
    <tableColumn id="2" xr3:uid="{D4D13275-15FC-8F40-8D33-8E45D1AC2A0D}" name="item" dataDxfId="9">
      <calculatedColumnFormula array="1">IFERROR(IF(INDEX(Items,ROWS(A$1:A1))=0,"", INDEX(Items,ROWS(A$1:A1))),"")</calculatedColumnFormula>
    </tableColumn>
    <tableColumn id="3" xr3:uid="{EB38F0F3-DF16-6847-9740-15CAF63A9041}" name="Area_Name" dataDxfId="10">
      <calculatedColumnFormula array="1">IFERROR(IF(INDEX(Area,ROWS(A$1:A1))=0,"", INDEX(Area,ROWS(A$1:A1))),"")</calculatedColumnFormula>
    </tableColumn>
    <tableColumn id="4" xr3:uid="{17C5EE62-1ABF-AE46-A617-05C5F7D37C25}" name="Ceiling?" dataDxfId="7">
      <calculatedColumnFormula array="1">IFERROR(IF(INDEX(Ceiling,ROWS(A$1:A1))=0,"", INDEX(Ceiling,ROWS(A$1:A1))),"")</calculatedColumnFormula>
    </tableColumn>
    <tableColumn id="17" xr3:uid="{479E2502-2B50-6042-9C1E-BC1708F78DD8}" name="Baseboard?" dataDxfId="6">
      <calculatedColumnFormula array="1">IFERROR(IF(INDEX(Baseboard,ROWS(A$1:A1))=0,"", INDEX(Baseboard,ROWS(A$1:A1))),"")</calculatedColumnFormula>
    </tableColumn>
    <tableColumn id="5" xr3:uid="{3E4166DC-773F-7B4D-8ED6-C6DEA92565BA}" name="Width" dataDxfId="5">
      <calculatedColumnFormula array="1">IFERROR(IF(INDEX(Width,ROWS(A$1:A1))=0,"", INDEX(Width,ROWS(A$1:A1))),"")</calculatedColumnFormula>
    </tableColumn>
    <tableColumn id="6" xr3:uid="{2CF1CD8A-829E-EB48-8FD1-CAB6EB25A029}" name="Depth" dataDxfId="4">
      <calculatedColumnFormula array="1">IFERROR(IF(INDEX(Depth,ROWS(A$1:A1))=0,"", INDEX(Depth,ROWS(A$1:A1))),"")</calculatedColumnFormula>
    </tableColumn>
    <tableColumn id="7" xr3:uid="{B31D12CB-E23B-FB4C-8F28-DF9AFA8B1969}" name="Height" dataDxfId="3">
      <calculatedColumnFormula array="1">IFERROR(IF(INDEX(Height,ROWS(A$1:A1))=0,"", INDEX(Height,ROWS(A$1:A1))),"")</calculatedColumnFormula>
    </tableColumn>
    <tableColumn id="9" xr3:uid="{A7F77E4C-6587-874E-8C38-24061AD1D63A}" name="Wall Finish type"/>
    <tableColumn id="18" xr3:uid="{54270212-AB41-2749-A699-BDBFCCDDD2C4}" name="Ceiling Finish Type"/>
    <tableColumn id="10" xr3:uid="{37F7EFE4-B8CA-DE40-8CD1-593DDF6C5B0D}" name="Primer_coats" dataDxfId="1">
      <calculatedColumnFormula array="1">IFERROR(IF(INDEX(Primer,ROWS(A$1:A1))=0,"", INDEX(Primer,ROWS(A$1:A1))),"")</calculatedColumnFormula>
    </tableColumn>
    <tableColumn id="11" xr3:uid="{7B5EAA33-ADA4-AE4F-AA69-3E53F7F2DFD0}" name="Finish_coat" dataDxfId="0">
      <calculatedColumnFormula array="1">IFERROR(IF(INDEX(Finish,ROWS(A$1:A1))=0,"", INDEX(Finish,ROWS(A$1:A1))),"")</calculatedColumnFormula>
    </tableColumn>
    <tableColumn id="12" xr3:uid="{74806B1A-5A30-E44B-9537-78E4539A348A}" name="Baseboard_length"/>
    <tableColumn id="13" xr3:uid="{E76C113B-7904-494A-B27D-A906E2538830}" name="special_labor"/>
    <tableColumn id="14" xr3:uid="{26EA5F71-C90D-4644-89D0-EAEA60434CC9}" name="Hr_special_labor"/>
    <tableColumn id="15" xr3:uid="{BAE61938-FCFF-6844-8E5F-83A48DF574AC}" name="gallon"/>
    <tableColumn id="16" xr3:uid="{5B382D6F-53D0-2242-8520-56AAE0E52214}" name="dis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1A20-3012-C546-B343-EF0199720B8F}">
  <dimension ref="A1:N38"/>
  <sheetViews>
    <sheetView topLeftCell="A9" zoomScale="86" zoomScaleNormal="210" workbookViewId="0">
      <selection activeCell="H13" sqref="H13:H27"/>
    </sheetView>
  </sheetViews>
  <sheetFormatPr baseColWidth="10" defaultRowHeight="16" x14ac:dyDescent="0.2"/>
  <cols>
    <col min="1" max="1" width="15.33203125" bestFit="1" customWidth="1"/>
    <col min="2" max="2" width="20.5" bestFit="1" customWidth="1"/>
    <col min="4" max="4" width="10.83203125" customWidth="1"/>
  </cols>
  <sheetData>
    <row r="1" spans="1:14" x14ac:dyDescent="0.2">
      <c r="A1" s="56" t="e" vm="1">
        <v>#VALUE!</v>
      </c>
      <c r="B1" s="56"/>
      <c r="C1" s="56"/>
      <c r="D1" s="56"/>
      <c r="E1" s="56"/>
      <c r="F1" s="56"/>
      <c r="G1" s="56"/>
      <c r="H1" s="56"/>
      <c r="I1" s="56"/>
      <c r="J1" s="25"/>
      <c r="K1" s="56"/>
      <c r="L1" s="1"/>
    </row>
    <row r="2" spans="1:14" x14ac:dyDescent="0.2">
      <c r="A2" s="56"/>
      <c r="B2" s="56"/>
      <c r="C2" s="56"/>
      <c r="D2" s="56"/>
      <c r="E2" s="56"/>
      <c r="F2" s="56"/>
      <c r="G2" s="56"/>
      <c r="H2" s="56"/>
      <c r="I2" s="56"/>
      <c r="J2" s="25"/>
      <c r="K2" s="56"/>
      <c r="L2" s="1"/>
    </row>
    <row r="3" spans="1:14" x14ac:dyDescent="0.2">
      <c r="A3" s="56"/>
      <c r="B3" s="56"/>
      <c r="C3" s="56"/>
      <c r="D3" s="56"/>
      <c r="E3" s="56"/>
      <c r="F3" s="56"/>
      <c r="G3" s="56"/>
      <c r="H3" s="56"/>
      <c r="I3" s="56"/>
      <c r="J3" s="25"/>
      <c r="K3" s="56"/>
      <c r="L3" s="1"/>
    </row>
    <row r="4" spans="1:14" x14ac:dyDescent="0.2">
      <c r="A4" s="2" t="s">
        <v>8</v>
      </c>
      <c r="B4" s="57" t="s">
        <v>40</v>
      </c>
      <c r="C4" s="57"/>
      <c r="D4" s="57"/>
      <c r="E4" s="3"/>
      <c r="F4" s="58" t="s">
        <v>9</v>
      </c>
      <c r="G4" s="59"/>
      <c r="H4" s="60"/>
      <c r="I4" s="3"/>
      <c r="J4" s="3"/>
      <c r="K4" s="3"/>
      <c r="L4" s="3"/>
      <c r="M4" s="3"/>
    </row>
    <row r="5" spans="1:14" x14ac:dyDescent="0.2">
      <c r="A5" s="2" t="s">
        <v>10</v>
      </c>
      <c r="B5" s="61"/>
      <c r="C5" s="61"/>
      <c r="D5" s="61"/>
      <c r="E5" s="3"/>
      <c r="F5" s="62"/>
      <c r="G5" s="63"/>
      <c r="H5" s="64"/>
      <c r="I5" s="3"/>
      <c r="J5" s="3"/>
      <c r="K5" s="3"/>
      <c r="L5" s="3"/>
      <c r="M5" s="3"/>
    </row>
    <row r="6" spans="1:14" x14ac:dyDescent="0.2">
      <c r="A6" s="2" t="s">
        <v>11</v>
      </c>
      <c r="B6" s="30"/>
      <c r="C6" s="30"/>
      <c r="D6" s="30"/>
      <c r="E6" s="3"/>
      <c r="F6" s="3" t="s">
        <v>24</v>
      </c>
      <c r="G6" s="23">
        <v>0.13</v>
      </c>
      <c r="H6" s="3"/>
      <c r="I6" s="3"/>
      <c r="J6" s="3"/>
      <c r="K6" s="3"/>
      <c r="L6" s="3"/>
      <c r="M6" s="3"/>
    </row>
    <row r="7" spans="1:14" x14ac:dyDescent="0.2">
      <c r="A7" s="2" t="s">
        <v>38</v>
      </c>
      <c r="B7" s="51"/>
      <c r="C7" s="51"/>
      <c r="D7" s="51"/>
      <c r="E7" s="3"/>
      <c r="F7" s="3"/>
      <c r="G7" s="3"/>
      <c r="H7" s="3"/>
      <c r="I7" s="3"/>
      <c r="J7" s="3"/>
      <c r="K7" s="3"/>
      <c r="L7" s="3"/>
      <c r="M7" s="3"/>
    </row>
    <row r="8" spans="1:14" x14ac:dyDescent="0.2">
      <c r="A8" s="2" t="s">
        <v>12</v>
      </c>
      <c r="B8" s="30"/>
      <c r="C8" s="30"/>
      <c r="D8" s="30"/>
      <c r="E8" s="3"/>
      <c r="F8" s="3"/>
      <c r="G8" s="3"/>
      <c r="H8" s="3"/>
      <c r="I8" s="3"/>
      <c r="J8" s="3"/>
      <c r="K8" s="3"/>
      <c r="L8" s="3"/>
      <c r="M8" s="3"/>
    </row>
    <row r="9" spans="1:14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">
      <c r="A11" s="52" t="s">
        <v>23</v>
      </c>
      <c r="B11" s="52" t="s">
        <v>13</v>
      </c>
      <c r="C11" s="34" t="s">
        <v>14</v>
      </c>
      <c r="D11" s="54"/>
      <c r="E11" s="55"/>
      <c r="F11" s="32" t="s">
        <v>0</v>
      </c>
      <c r="G11" s="32" t="s">
        <v>6</v>
      </c>
      <c r="H11" s="34" t="s">
        <v>20</v>
      </c>
      <c r="I11" s="54"/>
      <c r="J11" s="70" t="s">
        <v>79</v>
      </c>
      <c r="K11" s="70"/>
      <c r="L11" s="3"/>
      <c r="M11" s="3"/>
      <c r="N11" s="1"/>
    </row>
    <row r="12" spans="1:14" x14ac:dyDescent="0.2">
      <c r="A12" s="53"/>
      <c r="B12" s="53"/>
      <c r="C12" s="4" t="s">
        <v>37</v>
      </c>
      <c r="D12" s="5" t="s">
        <v>15</v>
      </c>
      <c r="E12" s="6" t="s">
        <v>16</v>
      </c>
      <c r="F12" s="33"/>
      <c r="G12" s="33"/>
      <c r="H12" s="6" t="s">
        <v>2</v>
      </c>
      <c r="I12" s="4" t="s">
        <v>1</v>
      </c>
      <c r="J12" s="71" t="s">
        <v>80</v>
      </c>
      <c r="K12" s="71" t="s">
        <v>0</v>
      </c>
      <c r="L12" s="27"/>
      <c r="M12" s="7"/>
      <c r="N12" s="1"/>
    </row>
    <row r="13" spans="1:14" x14ac:dyDescent="0.2">
      <c r="A13" s="8">
        <v>1</v>
      </c>
      <c r="B13" s="9" t="s">
        <v>27</v>
      </c>
      <c r="C13" s="10"/>
      <c r="D13" s="11"/>
      <c r="E13" s="11"/>
      <c r="F13" s="29" t="b">
        <v>0</v>
      </c>
      <c r="G13" s="29" t="b">
        <v>0</v>
      </c>
      <c r="H13" s="11"/>
      <c r="I13" s="9"/>
      <c r="J13" s="68"/>
      <c r="K13" s="68"/>
      <c r="L13" s="27"/>
      <c r="M13" s="3"/>
      <c r="N13" s="1"/>
    </row>
    <row r="14" spans="1:14" x14ac:dyDescent="0.2">
      <c r="A14" s="12">
        <v>2</v>
      </c>
      <c r="B14" s="13" t="s">
        <v>39</v>
      </c>
      <c r="C14" s="10"/>
      <c r="D14" s="11"/>
      <c r="E14" s="11"/>
      <c r="F14" s="29" t="b">
        <v>0</v>
      </c>
      <c r="G14" s="29" t="b">
        <v>0</v>
      </c>
      <c r="H14" s="11"/>
      <c r="I14" s="13"/>
      <c r="J14" s="68"/>
      <c r="K14" s="68"/>
      <c r="L14" s="27"/>
      <c r="M14" s="3"/>
      <c r="N14" s="1"/>
    </row>
    <row r="15" spans="1:14" x14ac:dyDescent="0.2">
      <c r="A15" s="8">
        <v>3</v>
      </c>
      <c r="B15" s="9"/>
      <c r="C15" s="10"/>
      <c r="D15" s="11"/>
      <c r="E15" s="11"/>
      <c r="F15" s="29" t="b">
        <v>0</v>
      </c>
      <c r="G15" s="29" t="b">
        <v>0</v>
      </c>
      <c r="H15" s="11"/>
      <c r="I15" s="9"/>
      <c r="J15" s="68"/>
      <c r="K15" s="68"/>
      <c r="L15" s="27"/>
      <c r="M15" s="3"/>
      <c r="N15" s="1"/>
    </row>
    <row r="16" spans="1:14" x14ac:dyDescent="0.2">
      <c r="A16" s="8">
        <v>4</v>
      </c>
      <c r="B16" s="9"/>
      <c r="C16" s="10"/>
      <c r="D16" s="11"/>
      <c r="E16" s="11"/>
      <c r="F16" s="29" t="b">
        <v>0</v>
      </c>
      <c r="G16" s="29" t="b">
        <v>0</v>
      </c>
      <c r="H16" s="11"/>
      <c r="I16" s="9"/>
      <c r="J16" s="68"/>
      <c r="K16" s="68"/>
      <c r="L16" s="27"/>
      <c r="M16" s="3"/>
      <c r="N16" s="1"/>
    </row>
    <row r="17" spans="1:14" x14ac:dyDescent="0.2">
      <c r="A17" s="8">
        <v>5</v>
      </c>
      <c r="B17" s="9"/>
      <c r="C17" s="10"/>
      <c r="D17" s="11"/>
      <c r="E17" s="11"/>
      <c r="F17" s="29" t="b">
        <v>0</v>
      </c>
      <c r="G17" s="29" t="b">
        <v>0</v>
      </c>
      <c r="H17" s="11"/>
      <c r="I17" s="9"/>
      <c r="J17" s="68"/>
      <c r="K17" s="68"/>
      <c r="L17" s="27"/>
      <c r="M17" s="3"/>
      <c r="N17" s="1"/>
    </row>
    <row r="18" spans="1:14" x14ac:dyDescent="0.2">
      <c r="A18" s="8">
        <v>6</v>
      </c>
      <c r="B18" s="9"/>
      <c r="C18" s="10"/>
      <c r="D18" s="11"/>
      <c r="E18" s="11"/>
      <c r="F18" s="29" t="b">
        <v>0</v>
      </c>
      <c r="G18" s="29" t="b">
        <v>0</v>
      </c>
      <c r="H18" s="11"/>
      <c r="I18" s="9"/>
      <c r="J18" s="68"/>
      <c r="K18" s="68"/>
      <c r="L18" s="27"/>
      <c r="M18" s="3"/>
      <c r="N18" s="1"/>
    </row>
    <row r="19" spans="1:14" x14ac:dyDescent="0.2">
      <c r="A19" s="8">
        <v>7</v>
      </c>
      <c r="B19" s="9"/>
      <c r="C19" s="10"/>
      <c r="D19" s="11"/>
      <c r="E19" s="11"/>
      <c r="F19" s="29" t="b">
        <v>0</v>
      </c>
      <c r="G19" s="29" t="b">
        <v>0</v>
      </c>
      <c r="H19" s="11"/>
      <c r="I19" s="9"/>
      <c r="J19" s="68"/>
      <c r="K19" s="68"/>
      <c r="L19" s="27"/>
      <c r="M19" s="3"/>
      <c r="N19" s="1"/>
    </row>
    <row r="20" spans="1:14" x14ac:dyDescent="0.2">
      <c r="A20" s="8">
        <v>8</v>
      </c>
      <c r="B20" s="9"/>
      <c r="C20" s="10"/>
      <c r="D20" s="11"/>
      <c r="E20" s="11"/>
      <c r="F20" s="29" t="b">
        <v>0</v>
      </c>
      <c r="G20" s="29" t="b">
        <v>0</v>
      </c>
      <c r="H20" s="11"/>
      <c r="I20" s="9"/>
      <c r="J20" s="68"/>
      <c r="K20" s="68"/>
      <c r="L20" s="27"/>
      <c r="M20" s="3"/>
      <c r="N20" s="1"/>
    </row>
    <row r="21" spans="1:14" x14ac:dyDescent="0.2">
      <c r="A21" s="8">
        <v>9</v>
      </c>
      <c r="B21" s="9"/>
      <c r="C21" s="10"/>
      <c r="D21" s="11"/>
      <c r="E21" s="11"/>
      <c r="F21" s="29" t="b">
        <v>0</v>
      </c>
      <c r="G21" s="29" t="b">
        <v>0</v>
      </c>
      <c r="H21" s="11"/>
      <c r="I21" s="9"/>
      <c r="J21" s="68"/>
      <c r="K21" s="68"/>
      <c r="L21" s="27"/>
      <c r="M21" s="3"/>
      <c r="N21" s="1"/>
    </row>
    <row r="22" spans="1:14" x14ac:dyDescent="0.2">
      <c r="A22" s="8">
        <v>10</v>
      </c>
      <c r="B22" s="9"/>
      <c r="C22" s="10"/>
      <c r="D22" s="11"/>
      <c r="E22" s="11"/>
      <c r="F22" s="29" t="b">
        <v>0</v>
      </c>
      <c r="G22" s="29" t="b">
        <v>0</v>
      </c>
      <c r="H22" s="11"/>
      <c r="I22" s="9"/>
      <c r="J22" s="68"/>
      <c r="K22" s="68"/>
      <c r="L22" s="27"/>
      <c r="M22" s="3"/>
      <c r="N22" s="1"/>
    </row>
    <row r="23" spans="1:14" x14ac:dyDescent="0.2">
      <c r="A23" s="8">
        <v>11</v>
      </c>
      <c r="B23" s="9"/>
      <c r="C23" s="10"/>
      <c r="D23" s="11"/>
      <c r="E23" s="11"/>
      <c r="F23" s="29" t="b">
        <v>0</v>
      </c>
      <c r="G23" s="29" t="b">
        <v>0</v>
      </c>
      <c r="H23" s="11"/>
      <c r="I23" s="9"/>
      <c r="J23" s="68"/>
      <c r="K23" s="68"/>
      <c r="L23" s="27"/>
      <c r="M23" s="3"/>
      <c r="N23" s="1"/>
    </row>
    <row r="24" spans="1:14" x14ac:dyDescent="0.2">
      <c r="A24" s="8">
        <v>12</v>
      </c>
      <c r="B24" s="9"/>
      <c r="C24" s="10"/>
      <c r="D24" s="11"/>
      <c r="E24" s="11"/>
      <c r="F24" s="29" t="b">
        <v>0</v>
      </c>
      <c r="G24" s="29" t="b">
        <v>0</v>
      </c>
      <c r="H24" s="11"/>
      <c r="I24" s="9"/>
      <c r="J24" s="68"/>
      <c r="K24" s="68"/>
      <c r="L24" s="27"/>
      <c r="M24" s="3"/>
      <c r="N24" s="1"/>
    </row>
    <row r="25" spans="1:14" x14ac:dyDescent="0.2">
      <c r="A25" s="8">
        <v>13</v>
      </c>
      <c r="B25" s="9"/>
      <c r="C25" s="10"/>
      <c r="D25" s="11"/>
      <c r="E25" s="11"/>
      <c r="F25" s="29" t="b">
        <v>0</v>
      </c>
      <c r="G25" s="29" t="b">
        <v>0</v>
      </c>
      <c r="H25" s="11"/>
      <c r="I25" s="9"/>
      <c r="J25" s="68"/>
      <c r="K25" s="68"/>
      <c r="L25" s="27"/>
      <c r="M25" s="3"/>
      <c r="N25" s="1"/>
    </row>
    <row r="26" spans="1:14" x14ac:dyDescent="0.2">
      <c r="A26" s="8">
        <v>14</v>
      </c>
      <c r="B26" s="9"/>
      <c r="C26" s="10"/>
      <c r="D26" s="11"/>
      <c r="E26" s="11"/>
      <c r="F26" s="29" t="b">
        <v>0</v>
      </c>
      <c r="G26" s="29" t="b">
        <v>0</v>
      </c>
      <c r="H26" s="11"/>
      <c r="I26" s="9"/>
      <c r="J26" s="68"/>
      <c r="K26" s="68"/>
      <c r="L26" s="27"/>
      <c r="M26" s="3"/>
      <c r="N26" s="1"/>
    </row>
    <row r="27" spans="1:14" x14ac:dyDescent="0.2">
      <c r="A27" s="8">
        <v>15</v>
      </c>
      <c r="B27" s="9"/>
      <c r="C27" s="10"/>
      <c r="D27" s="11"/>
      <c r="E27" s="11"/>
      <c r="F27" s="29" t="b">
        <v>0</v>
      </c>
      <c r="G27" s="29" t="b">
        <v>0</v>
      </c>
      <c r="H27" s="11"/>
      <c r="I27" s="9"/>
      <c r="J27" s="68"/>
      <c r="K27" s="68"/>
      <c r="L27" s="27"/>
      <c r="M27" s="3"/>
      <c r="N27" s="1"/>
    </row>
    <row r="28" spans="1:14" x14ac:dyDescent="0.2">
      <c r="A28" s="69"/>
      <c r="B28" s="3"/>
      <c r="C28" s="3"/>
      <c r="D28" s="3"/>
      <c r="E28" s="3"/>
      <c r="F28" s="3"/>
      <c r="G28" s="3"/>
      <c r="H28" s="2"/>
      <c r="I28" s="2"/>
      <c r="J28" s="2"/>
      <c r="K28" s="3"/>
      <c r="L28" s="27"/>
      <c r="M28" s="3"/>
    </row>
    <row r="29" spans="1:14" x14ac:dyDescent="0.2">
      <c r="A29" s="69"/>
      <c r="B29" s="3"/>
      <c r="C29" s="3"/>
      <c r="D29" s="3"/>
      <c r="E29" s="3"/>
      <c r="F29" s="3"/>
      <c r="G29" s="3"/>
      <c r="H29" s="2"/>
      <c r="I29" s="2"/>
      <c r="J29" s="2"/>
      <c r="K29" s="3"/>
      <c r="L29" s="27"/>
      <c r="M29" s="3"/>
    </row>
    <row r="30" spans="1:14" x14ac:dyDescent="0.2">
      <c r="A30" s="36" t="s">
        <v>17</v>
      </c>
      <c r="B30" s="36"/>
      <c r="C30" s="36"/>
      <c r="D30" s="36"/>
      <c r="E30" s="36"/>
      <c r="F30" s="36"/>
      <c r="G30" s="36"/>
      <c r="H30" s="36"/>
      <c r="I30" s="36"/>
      <c r="J30" s="24"/>
      <c r="K30" s="3"/>
      <c r="L30" s="27"/>
      <c r="M30" s="3"/>
    </row>
    <row r="31" spans="1:14" x14ac:dyDescent="0.2">
      <c r="A31" s="37" t="s">
        <v>18</v>
      </c>
      <c r="B31" s="14" t="s">
        <v>3</v>
      </c>
      <c r="C31" s="38" t="s">
        <v>19</v>
      </c>
      <c r="D31" s="14">
        <v>1</v>
      </c>
      <c r="E31" s="41" t="s">
        <v>20</v>
      </c>
      <c r="F31" s="14">
        <v>1</v>
      </c>
      <c r="G31" s="44"/>
      <c r="H31" s="45"/>
      <c r="I31" s="15"/>
      <c r="J31" s="28"/>
      <c r="K31" s="3"/>
      <c r="L31" s="27"/>
      <c r="M31" s="3"/>
    </row>
    <row r="32" spans="1:14" x14ac:dyDescent="0.2">
      <c r="A32" s="37"/>
      <c r="B32" s="16" t="s">
        <v>4</v>
      </c>
      <c r="C32" s="39"/>
      <c r="D32" s="16">
        <v>1</v>
      </c>
      <c r="E32" s="42"/>
      <c r="F32" s="16">
        <v>1</v>
      </c>
      <c r="G32" s="46"/>
      <c r="H32" s="47"/>
      <c r="I32" s="17"/>
      <c r="J32" s="28"/>
      <c r="K32" s="3"/>
      <c r="L32" s="27"/>
      <c r="M32" s="3"/>
    </row>
    <row r="33" spans="1:13" x14ac:dyDescent="0.2">
      <c r="A33" s="37"/>
      <c r="B33" s="16" t="s">
        <v>5</v>
      </c>
      <c r="C33" s="39"/>
      <c r="D33" s="16">
        <v>1</v>
      </c>
      <c r="E33" s="42"/>
      <c r="F33" s="16">
        <v>1</v>
      </c>
      <c r="G33" s="46"/>
      <c r="H33" s="47"/>
      <c r="I33" s="17"/>
      <c r="J33" s="28"/>
      <c r="K33" s="3"/>
      <c r="L33" s="27"/>
      <c r="M33" s="3"/>
    </row>
    <row r="34" spans="1:13" x14ac:dyDescent="0.2">
      <c r="A34" s="37"/>
      <c r="B34" s="18" t="s">
        <v>3</v>
      </c>
      <c r="C34" s="40"/>
      <c r="D34" s="18">
        <v>1</v>
      </c>
      <c r="E34" s="42"/>
      <c r="F34" s="18">
        <v>1</v>
      </c>
      <c r="G34" s="46"/>
      <c r="H34" s="47"/>
      <c r="I34" s="19"/>
      <c r="J34" s="28"/>
      <c r="K34" s="3"/>
      <c r="L34" s="27"/>
      <c r="M34" s="3"/>
    </row>
    <row r="35" spans="1:13" x14ac:dyDescent="0.2">
      <c r="A35" s="37" t="s">
        <v>21</v>
      </c>
      <c r="B35" s="7" t="s">
        <v>6</v>
      </c>
      <c r="C35" s="50" t="s">
        <v>22</v>
      </c>
      <c r="D35" s="20">
        <v>0</v>
      </c>
      <c r="E35" s="42"/>
      <c r="F35" s="16">
        <v>0</v>
      </c>
      <c r="G35" s="46"/>
      <c r="H35" s="47"/>
      <c r="I35" s="17"/>
      <c r="J35" s="28"/>
      <c r="K35" s="3"/>
      <c r="L35" s="27"/>
      <c r="M35" s="3"/>
    </row>
    <row r="36" spans="1:13" x14ac:dyDescent="0.2">
      <c r="A36" s="37"/>
      <c r="B36" s="21" t="s">
        <v>7</v>
      </c>
      <c r="C36" s="40"/>
      <c r="D36" s="18">
        <v>0</v>
      </c>
      <c r="E36" s="43"/>
      <c r="F36" s="18">
        <v>0</v>
      </c>
      <c r="G36" s="48"/>
      <c r="H36" s="49"/>
      <c r="I36" s="19"/>
      <c r="J36" s="28"/>
      <c r="K36" s="3"/>
      <c r="L36" s="27"/>
      <c r="M36" s="3"/>
    </row>
    <row r="37" spans="1:13" ht="19" x14ac:dyDescent="0.25">
      <c r="A37" s="3"/>
      <c r="B37" s="3"/>
      <c r="C37" s="3"/>
      <c r="D37" s="3"/>
      <c r="E37" s="3"/>
      <c r="F37" s="31"/>
      <c r="G37" s="31"/>
      <c r="H37" s="31"/>
      <c r="I37" s="22"/>
      <c r="J37" s="22"/>
      <c r="K37" s="3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24">
    <mergeCell ref="J11:K11"/>
    <mergeCell ref="F11:F12"/>
    <mergeCell ref="A1:I3"/>
    <mergeCell ref="K1:K3"/>
    <mergeCell ref="B4:D4"/>
    <mergeCell ref="F4:H4"/>
    <mergeCell ref="B5:D5"/>
    <mergeCell ref="F5:H5"/>
    <mergeCell ref="B6:D6"/>
    <mergeCell ref="B8:D8"/>
    <mergeCell ref="F37:H37"/>
    <mergeCell ref="G11:G12"/>
    <mergeCell ref="H11:I11"/>
    <mergeCell ref="A30:I30"/>
    <mergeCell ref="A31:A34"/>
    <mergeCell ref="C31:C34"/>
    <mergeCell ref="E31:E36"/>
    <mergeCell ref="G31:H36"/>
    <mergeCell ref="A35:A36"/>
    <mergeCell ref="C35:C36"/>
    <mergeCell ref="B7:D7"/>
    <mergeCell ref="A11:A12"/>
    <mergeCell ref="B11:B12"/>
    <mergeCell ref="C11:E11"/>
  </mergeCells>
  <dataValidations count="1">
    <dataValidation type="list" allowBlank="1" showInputMessage="1" showErrorMessage="1" sqref="B13:B27" xr:uid="{0B327B7D-2F3B-9A4A-83BA-EDEE77E9B2B1}">
      <formula1>Options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87FBDA-DFAC-5D4A-B976-9C26C63F256B}">
          <x14:formula1>
            <xm:f>dropdowns!$C$2:$C$25</xm:f>
          </x14:formula1>
          <xm:sqref>J13:K27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7872-D41D-C449-858F-53326C87D9A6}">
  <dimension ref="A1:E25"/>
  <sheetViews>
    <sheetView workbookViewId="0">
      <selection activeCell="C10" sqref="C10"/>
    </sheetView>
  </sheetViews>
  <sheetFormatPr baseColWidth="10" defaultRowHeight="16" x14ac:dyDescent="0.2"/>
  <cols>
    <col min="1" max="1" width="14.1640625" customWidth="1"/>
    <col min="2" max="2" width="13.5" customWidth="1"/>
    <col min="3" max="3" width="48.33203125" bestFit="1" customWidth="1"/>
  </cols>
  <sheetData>
    <row r="1" spans="1:5" x14ac:dyDescent="0.2">
      <c r="A1" t="s">
        <v>63</v>
      </c>
      <c r="B1" t="s">
        <v>64</v>
      </c>
      <c r="C1" t="s">
        <v>81</v>
      </c>
    </row>
    <row r="2" spans="1:5" x14ac:dyDescent="0.2">
      <c r="A2" t="s">
        <v>41</v>
      </c>
      <c r="B2" s="1" t="s">
        <v>65</v>
      </c>
      <c r="C2" t="str" cm="1">
        <f t="array" ref="C2">IFERROR(IF(INDEX(_xlfn._xlws.FILTER([1]!Table_Paint_Unified[[ Description ]], ISNUMBER(SEARCH("Finish", [1]!Table_Paint_Unified[Application]))),ROWS(A$1:A1))=0,"", INDEX(_xlfn._xlws.FILTER([1]!Table_Paint_Unified[[ Description ]], ISNUMBER(SEARCH("Finish", [1]!Table_Paint_Unified[Application]))),ROWS(A$1:A1))),"")</f>
        <v xml:space="preserve">Aura Bath &amp; Spa Matte Base 1 </v>
      </c>
    </row>
    <row r="3" spans="1:5" x14ac:dyDescent="0.2">
      <c r="A3" t="s">
        <v>42</v>
      </c>
      <c r="B3" s="1" t="s">
        <v>66</v>
      </c>
      <c r="C3" t="str" cm="1">
        <f t="array" ref="C3">IFERROR(IF(INDEX(_xlfn._xlws.FILTER([1]!Table_Paint_Unified[[ Description ]], ISNUMBER(SEARCH("Finish", [1]!Table_Paint_Unified[Application]))),ROWS(A$1:A2))=0,"", INDEX(_xlfn._xlws.FILTER([1]!Table_Paint_Unified[[ Description ]], ISNUMBER(SEARCH("Finish", [1]!Table_Paint_Unified[Application]))),ROWS(A$1:A2))),"")</f>
        <v>PM 200 0 FL EXTRA Pro Mar 200 Zero Voc Contractor grade</v>
      </c>
      <c r="E3" t="str" cm="1">
        <f t="array" ref="E3">IFERROR(IF(INDEX(_xlfn._xlws.FILTER([1]!Table_Paint_Unified[[ Description ]], ISNUMBER(SEARCH("Finish", [1]!Table_Paint_Unified[Application]))),ROWS(A$1:A1))=0,"", INDEX(_xlfn._xlws.FILTER([1]!Table_Paint_Unified[[ Description ]], ISNUMBER(SEARCH("Finish", [1]!Table_Paint_Unified[Application]))),ROWS(A$1:A1))),"")</f>
        <v xml:space="preserve">Aura Bath &amp; Spa Matte Base 1 </v>
      </c>
    </row>
    <row r="4" spans="1:5" x14ac:dyDescent="0.2">
      <c r="A4" t="s">
        <v>39</v>
      </c>
      <c r="B4" s="1" t="s">
        <v>67</v>
      </c>
      <c r="C4" t="str" cm="1">
        <f t="array" ref="C4">IFERROR(IF(INDEX(_xlfn._xlws.FILTER([1]!Table_Paint_Unified[[ Description ]], ISNUMBER(SEARCH("Finish", [1]!Table_Paint_Unified[Application]))),ROWS(A$1:A3))=0,"", INDEX(_xlfn._xlws.FILTER([1]!Table_Paint_Unified[[ Description ]], ISNUMBER(SEARCH("Finish", [1]!Table_Paint_Unified[Application]))),ROWS(A$1:A3))),"")</f>
        <v>PM200 HP 0 EG EW  Pro Mar 200 HP</v>
      </c>
    </row>
    <row r="5" spans="1:5" x14ac:dyDescent="0.2">
      <c r="A5" t="s">
        <v>43</v>
      </c>
      <c r="C5" t="str" cm="1">
        <f t="array" ref="C5">IFERROR(IF(INDEX(_xlfn._xlws.FILTER([1]!Table_Paint_Unified[[ Description ]], ISNUMBER(SEARCH("Finish", [1]!Table_Paint_Unified[Application]))),ROWS(A$1:A4))=0,"", INDEX(_xlfn._xlws.FILTER([1]!Table_Paint_Unified[[ Description ]], ISNUMBER(SEARCH("Finish", [1]!Table_Paint_Unified[Application]))),ROWS(A$1:A4))),"")</f>
        <v>SPR INT SA AIR EW SuperPaint Air</v>
      </c>
    </row>
    <row r="6" spans="1:5" x14ac:dyDescent="0.2">
      <c r="A6" t="s">
        <v>44</v>
      </c>
      <c r="C6" t="str" cm="1">
        <f t="array" ref="C6">IFERROR(IF(INDEX(_xlfn._xlws.FILTER([1]!Table_Paint_Unified[[ Description ]], ISNUMBER(SEARCH("Finish", [1]!Table_Paint_Unified[Application]))),ROWS(A$1:A5))=0,"", INDEX(_xlfn._xlws.FILTER([1]!Table_Paint_Unified[[ Description ]], ISNUMBER(SEARCH("Finish", [1]!Table_Paint_Unified[Application]))),ROWS(A$1:A5))),"")</f>
        <v>SCUFF TUFF MT EW Scuff X Crossover</v>
      </c>
    </row>
    <row r="7" spans="1:5" x14ac:dyDescent="0.2">
      <c r="A7" t="s">
        <v>45</v>
      </c>
      <c r="C7" t="str" cm="1">
        <f t="array" ref="C7">IFERROR(IF(INDEX(_xlfn._xlws.FILTER([1]!Table_Paint_Unified[[ Description ]], ISNUMBER(SEARCH("Finish", [1]!Table_Paint_Unified[Application]))),ROWS(A$1:A6))=0,"", INDEX(_xlfn._xlws.FILTER([1]!Table_Paint_Unified[[ Description ]], ISNUMBER(SEARCH("Finish", [1]!Table_Paint_Unified[Application]))),ROWS(A$1:A6))),"")</f>
        <v>EMERALD IN FL EXTR Emerald interior</v>
      </c>
    </row>
    <row r="8" spans="1:5" x14ac:dyDescent="0.2">
      <c r="A8" t="s">
        <v>46</v>
      </c>
      <c r="C8" t="str" cm="1">
        <f t="array" ref="C8">IFERROR(IF(INDEX(_xlfn._xlws.FILTER([1]!Table_Paint_Unified[[ Description ]], ISNUMBER(SEARCH("Finish", [1]!Table_Paint_Unified[Application]))),ROWS(A$1:A7))=0,"", INDEX(_xlfn._xlws.FILTER([1]!Table_Paint_Unified[[ Description ]], ISNUMBER(SEARCH("Finish", [1]!Table_Paint_Unified[Application]))),ROWS(A$1:A7))),"")</f>
        <v>CLRTP WBSTN WHT CAD Colour Top Ext Stain</v>
      </c>
    </row>
    <row r="9" spans="1:5" x14ac:dyDescent="0.2">
      <c r="A9" t="s">
        <v>47</v>
      </c>
      <c r="C9" t="str" cm="1">
        <f t="array" ref="C9">IFERROR(IF(INDEX(_xlfn._xlws.FILTER([1]!Table_Paint_Unified[[ Description ]], ISNUMBER(SEARCH("Finish", [1]!Table_Paint_Unified[Application]))),ROWS(A$1:A8))=0,"", INDEX(_xlfn._xlws.FILTER([1]!Table_Paint_Unified[[ Description ]], ISNUMBER(SEARCH("Finish", [1]!Table_Paint_Unified[Application]))),ROWS(A$1:A8))),"")</f>
        <v>SPR EXT FL EXTRA SuperPaint Ext</v>
      </c>
    </row>
    <row r="10" spans="1:5" x14ac:dyDescent="0.2">
      <c r="A10" t="s">
        <v>48</v>
      </c>
      <c r="C10" t="str" cm="1">
        <f t="array" ref="C10">IFERROR(IF(INDEX(_xlfn._xlws.FILTER([1]!Table_Paint_Unified[[ Description ]], ISNUMBER(SEARCH("Finish", [1]!Table_Paint_Unified[Application]))),ROWS(A$1:A9))=0,"", INDEX(_xlfn._xlws.FILTER([1]!Table_Paint_Unified[[ Description ]], ISNUMBER(SEARCH("Finish", [1]!Table_Paint_Unified[Application]))),ROWS(A$1:A9))),"")</f>
        <v>LATITUDE EXT FL EW</v>
      </c>
    </row>
    <row r="11" spans="1:5" x14ac:dyDescent="0.2">
      <c r="A11" t="s">
        <v>49</v>
      </c>
      <c r="C11" t="str" cm="1">
        <f t="array" ref="C11">IFERROR(IF(INDEX(_xlfn._xlws.FILTER([1]!Table_Paint_Unified[[ Description ]], ISNUMBER(SEARCH("Finish", [1]!Table_Paint_Unified[Application]))),ROWS(A$1:A10))=0,"", INDEX(_xlfn._xlws.FILTER([1]!Table_Paint_Unified[[ Description ]], ISNUMBER(SEARCH("Finish", [1]!Table_Paint_Unified[Application]))),ROWS(A$1:A10))),"")</f>
        <v>DURATION FL EXTRA</v>
      </c>
    </row>
    <row r="12" spans="1:5" x14ac:dyDescent="0.2">
      <c r="A12" t="s">
        <v>50</v>
      </c>
      <c r="C12" t="str" cm="1">
        <f t="array" ref="C12">IFERROR(IF(INDEX(_xlfn._xlws.FILTER([1]!Table_Paint_Unified[[ Description ]], ISNUMBER(SEARCH("Finish", [1]!Table_Paint_Unified[Application]))),ROWS(A$1:A11))=0,"", INDEX(_xlfn._xlws.FILTER([1]!Table_Paint_Unified[[ Description ]], ISNUMBER(SEARCH("Finish", [1]!Table_Paint_Unified[Application]))),ROWS(A$1:A11))),"")</f>
        <v>LXN XP EW Loxon XP</v>
      </c>
    </row>
    <row r="13" spans="1:5" x14ac:dyDescent="0.2">
      <c r="A13" t="s">
        <v>27</v>
      </c>
      <c r="C13" t="str" cm="1">
        <f t="array" ref="C13">IFERROR(IF(INDEX(_xlfn._xlws.FILTER([1]!Table_Paint_Unified[[ Description ]], ISNUMBER(SEARCH("Finish", [1]!Table_Paint_Unified[Application]))),ROWS(A$1:A12))=0,"", INDEX(_xlfn._xlws.FILTER([1]!Table_Paint_Unified[[ Description ]], ISNUMBER(SEARCH("Finish", [1]!Table_Paint_Unified[Application]))),ROWS(A$1:A12))),"")</f>
        <v>IND EN HS PUREWHT Industrial Enamel</v>
      </c>
    </row>
    <row r="14" spans="1:5" x14ac:dyDescent="0.2">
      <c r="A14" t="s">
        <v>51</v>
      </c>
      <c r="C14" t="str" cm="1">
        <f t="array" ref="C14">IFERROR(IF(INDEX(_xlfn._xlws.FILTER([1]!Table_Paint_Unified[[ Description ]], ISNUMBER(SEARCH("Finish", [1]!Table_Paint_Unified[Application]))),ROWS(A$1:A13))=0,"", INDEX(_xlfn._xlws.FILTER([1]!Table_Paint_Unified[[ Description ]], ISNUMBER(SEARCH("Finish", [1]!Table_Paint_Unified[Application]))),ROWS(A$1:A13))),"")</f>
        <v xml:space="preserve">Ultraspec Interior Low Sheen Base 1 </v>
      </c>
    </row>
    <row r="15" spans="1:5" x14ac:dyDescent="0.2">
      <c r="A15" t="s">
        <v>52</v>
      </c>
      <c r="C15" t="str" cm="1">
        <f t="array" ref="C15">IFERROR(IF(INDEX(_xlfn._xlws.FILTER([1]!Table_Paint_Unified[[ Description ]], ISNUMBER(SEARCH("Finish", [1]!Table_Paint_Unified[Application]))),ROWS(A$1:A14))=0,"", INDEX(_xlfn._xlws.FILTER([1]!Table_Paint_Unified[[ Description ]], ISNUMBER(SEARCH("Finish", [1]!Table_Paint_Unified[Application]))),ROWS(A$1:A14))),"")</f>
        <v xml:space="preserve">Scuff X Interior Pearl finish base 1 </v>
      </c>
    </row>
    <row r="16" spans="1:5" x14ac:dyDescent="0.2">
      <c r="A16" t="s">
        <v>53</v>
      </c>
      <c r="C16" t="str" cm="1">
        <f t="array" ref="C16">IFERROR(IF(INDEX(_xlfn._xlws.FILTER([1]!Table_Paint_Unified[[ Description ]], ISNUMBER(SEARCH("Finish", [1]!Table_Paint_Unified[Application]))),ROWS(A$1:A15))=0,"", INDEX(_xlfn._xlws.FILTER([1]!Table_Paint_Unified[[ Description ]], ISNUMBER(SEARCH("Finish", [1]!Table_Paint_Unified[Application]))),ROWS(A$1:A15))),"")</f>
        <v xml:space="preserve">Regal Select Int Ulti-matte Base 1 </v>
      </c>
    </row>
    <row r="17" spans="1:3" x14ac:dyDescent="0.2">
      <c r="A17" t="s">
        <v>54</v>
      </c>
      <c r="C17" t="str" cm="1">
        <f t="array" ref="C17">IFERROR(IF(INDEX(_xlfn._xlws.FILTER([1]!Table_Paint_Unified[[ Description ]], ISNUMBER(SEARCH("Finish", [1]!Table_Paint_Unified[Application]))),ROWS(A$1:A16))=0,"", INDEX(_xlfn._xlws.FILTER([1]!Table_Paint_Unified[[ Description ]], ISNUMBER(SEARCH("Finish", [1]!Table_Paint_Unified[Application]))),ROWS(A$1:A16))),"")</f>
        <v xml:space="preserve">Advance Wb Alkyd Pearl Base 1 </v>
      </c>
    </row>
    <row r="18" spans="1:3" x14ac:dyDescent="0.2">
      <c r="A18" t="s">
        <v>55</v>
      </c>
      <c r="C18" t="str" cm="1">
        <f t="array" ref="C18">IFERROR(IF(INDEX(_xlfn._xlws.FILTER([1]!Table_Paint_Unified[[ Description ]], ISNUMBER(SEARCH("Finish", [1]!Table_Paint_Unified[Application]))),ROWS(A$1:A17))=0,"", INDEX(_xlfn._xlws.FILTER([1]!Table_Paint_Unified[[ Description ]], ISNUMBER(SEARCH("Finish", [1]!Table_Paint_Unified[Application]))),ROWS(A$1:A17))),"")</f>
        <v xml:space="preserve">Regal Select Ext Low Lustre Base 1 </v>
      </c>
    </row>
    <row r="19" spans="1:3" x14ac:dyDescent="0.2">
      <c r="A19" t="s">
        <v>56</v>
      </c>
      <c r="C19" t="str" cm="1">
        <f t="array" ref="C19">IFERROR(IF(INDEX(_xlfn._xlws.FILTER([1]!Table_Paint_Unified[[ Description ]], ISNUMBER(SEARCH("Finish", [1]!Table_Paint_Unified[Application]))),ROWS(A$1:A18))=0,"", INDEX(_xlfn._xlws.FILTER([1]!Table_Paint_Unified[[ Description ]], ISNUMBER(SEARCH("Finish", [1]!Table_Paint_Unified[Application]))),ROWS(A$1:A18))),"")</f>
        <v xml:space="preserve">Arborcoat Ext. Wb Stain Solid Base </v>
      </c>
    </row>
    <row r="20" spans="1:3" x14ac:dyDescent="0.2">
      <c r="A20" t="s">
        <v>57</v>
      </c>
      <c r="C20" t="str" cm="1">
        <f t="array" ref="C20">IFERROR(IF(INDEX(_xlfn._xlws.FILTER([1]!Table_Paint_Unified[[ Description ]], ISNUMBER(SEARCH("Finish", [1]!Table_Paint_Unified[Application]))),ROWS(A$1:A19))=0,"", INDEX(_xlfn._xlws.FILTER([1]!Table_Paint_Unified[[ Description ]], ISNUMBER(SEARCH("Finish", [1]!Table_Paint_Unified[Application]))),ROWS(A$1:A19))),"")</f>
        <v xml:space="preserve">Aura Exterior Low Lustre Base 1 </v>
      </c>
    </row>
    <row r="21" spans="1:3" x14ac:dyDescent="0.2">
      <c r="A21" t="s">
        <v>58</v>
      </c>
      <c r="C21" t="str" cm="1">
        <f t="array" ref="C21">IFERROR(IF(INDEX(_xlfn._xlws.FILTER([1]!Table_Paint_Unified[[ Description ]], ISNUMBER(SEARCH("Finish", [1]!Table_Paint_Unified[Application]))),ROWS(A$1:A20))=0,"", INDEX(_xlfn._xlws.FILTER([1]!Table_Paint_Unified[[ Description ]], ISNUMBER(SEARCH("Finish", [1]!Table_Paint_Unified[Application]))),ROWS(A$1:A20))),"")</f>
        <v>Corotech Command Acrylic Urethane Satin</v>
      </c>
    </row>
    <row r="22" spans="1:3" x14ac:dyDescent="0.2">
      <c r="A22" t="s">
        <v>59</v>
      </c>
      <c r="C22" t="str" cm="1">
        <f t="array" ref="C22">IFERROR(IF(INDEX(_xlfn._xlws.FILTER([1]!Table_Paint_Unified[[ Description ]], ISNUMBER(SEARCH("Finish", [1]!Table_Paint_Unified[Application]))),ROWS(A$1:A21))=0,"", INDEX(_xlfn._xlws.FILTER([1]!Table_Paint_Unified[[ Description ]], ISNUMBER(SEARCH("Finish", [1]!Table_Paint_Unified[Application]))),ROWS(A$1:A21))),"")</f>
        <v xml:space="preserve">Coronado Rust Scat Oil Accent Base </v>
      </c>
    </row>
    <row r="23" spans="1:3" x14ac:dyDescent="0.2">
      <c r="A23" t="s">
        <v>60</v>
      </c>
      <c r="C23" t="str" cm="1">
        <f t="array" ref="C23">IFERROR(IF(INDEX(_xlfn._xlws.FILTER([1]!Table_Paint_Unified[[ Description ]], ISNUMBER(SEARCH("Finish", [1]!Table_Paint_Unified[Application]))),ROWS(A$1:A22))=0,"", INDEX(_xlfn._xlws.FILTER([1]!Table_Paint_Unified[[ Description ]], ISNUMBER(SEARCH("Finish", [1]!Table_Paint_Unified[Application]))),ROWS(A$1:A22))),"")</f>
        <v/>
      </c>
    </row>
    <row r="24" spans="1:3" x14ac:dyDescent="0.2">
      <c r="A24" t="s">
        <v>61</v>
      </c>
      <c r="C24" t="str" cm="1">
        <f t="array" ref="C24">IFERROR(IF(INDEX(_xlfn._xlws.FILTER([1]!Table_Paint_Unified[[ Description ]], ISNUMBER(SEARCH("Finish", [1]!Table_Paint_Unified[Application]))),ROWS(A$1:A23))=0,"", INDEX(_xlfn._xlws.FILTER([1]!Table_Paint_Unified[[ Description ]], ISNUMBER(SEARCH("Finish", [1]!Table_Paint_Unified[Application]))),ROWS(A$1:A23))),"")</f>
        <v/>
      </c>
    </row>
    <row r="25" spans="1:3" x14ac:dyDescent="0.2">
      <c r="A25" t="s">
        <v>62</v>
      </c>
      <c r="C25" t="str" cm="1">
        <f t="array" ref="C25">IFERROR(IF(INDEX(_xlfn._xlws.FILTER([1]!Table_Paint_Unified[[ Description ]], ISNUMBER(SEARCH("Finish", [1]!Table_Paint_Unified[Application]))),ROWS(A$1:A24))=0,"", INDEX(_xlfn._xlws.FILTER([1]!Table_Paint_Unified[[ Description ]], ISNUMBER(SEARCH("Finish", [1]!Table_Paint_Unified[Application]))),ROWS(A$1:A24))),"")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D23C-AFC2-CD47-9A14-B81722EFBDC7}">
  <dimension ref="A1:Q17"/>
  <sheetViews>
    <sheetView tabSelected="1" zoomScale="87" workbookViewId="0">
      <selection activeCell="M2" sqref="M2"/>
    </sheetView>
  </sheetViews>
  <sheetFormatPr baseColWidth="10" defaultRowHeight="16" x14ac:dyDescent="0.2"/>
  <cols>
    <col min="1" max="1" width="18.6640625" customWidth="1"/>
    <col min="3" max="3" width="12.5" customWidth="1"/>
    <col min="4" max="5" width="12.6640625" customWidth="1"/>
    <col min="9" max="10" width="12" customWidth="1"/>
    <col min="11" max="11" width="13.6640625" customWidth="1"/>
    <col min="12" max="12" width="12.33203125" customWidth="1"/>
    <col min="13" max="13" width="17.1640625" customWidth="1"/>
    <col min="14" max="14" width="13.6640625" customWidth="1"/>
    <col min="15" max="15" width="16.1640625" customWidth="1"/>
  </cols>
  <sheetData>
    <row r="1" spans="1:17" x14ac:dyDescent="0.2">
      <c r="A1" t="s">
        <v>82</v>
      </c>
      <c r="B1" t="s">
        <v>25</v>
      </c>
      <c r="C1" t="s">
        <v>26</v>
      </c>
      <c r="D1" t="s">
        <v>76</v>
      </c>
      <c r="E1" t="s">
        <v>77</v>
      </c>
      <c r="F1" t="s">
        <v>68</v>
      </c>
      <c r="G1" t="s">
        <v>28</v>
      </c>
      <c r="H1" t="s">
        <v>29</v>
      </c>
      <c r="I1" t="s">
        <v>83</v>
      </c>
      <c r="J1" t="s">
        <v>78</v>
      </c>
      <c r="K1" t="s">
        <v>32</v>
      </c>
      <c r="L1" t="s">
        <v>33</v>
      </c>
      <c r="M1" t="s">
        <v>36</v>
      </c>
      <c r="N1" t="s">
        <v>30</v>
      </c>
      <c r="O1" t="s">
        <v>31</v>
      </c>
      <c r="P1" t="s">
        <v>34</v>
      </c>
      <c r="Q1" t="s">
        <v>35</v>
      </c>
    </row>
    <row r="2" spans="1:17" x14ac:dyDescent="0.2">
      <c r="A2" t="str">
        <f>IF(Name&lt;&gt;0, Name, "")</f>
        <v>Kiara Burcher</v>
      </c>
      <c r="B2" cm="1">
        <f t="array" ref="B2">IFERROR(IF(INDEX(Items,ROWS(A$1:A1))=0,"", INDEX(Items,ROWS(A$1:A1))),"")</f>
        <v>1</v>
      </c>
      <c r="C2" t="str" cm="1">
        <f t="array" ref="C2">IFERROR(IF(INDEX(Area,ROWS(A$1:A1))=0,"", INDEX(Area,ROWS(A$1:A1))),"")</f>
        <v>Kitchen</v>
      </c>
      <c r="D2" t="b" cm="1">
        <f t="array" ref="D2">IFERROR(IF(INDEX(Ceiling,ROWS(A$1:A1))=0,"", INDEX(Ceiling,ROWS(A$1:A1))),"")</f>
        <v>0</v>
      </c>
      <c r="E2" t="b" cm="1">
        <f t="array" ref="E2">IFERROR(IF(INDEX(Baseboard,ROWS(A$1:A1))=0,"", INDEX(Baseboard,ROWS(A$1:A1))),"")</f>
        <v>0</v>
      </c>
      <c r="F2" t="str" cm="1">
        <f t="array" ref="F2">IFERROR(IF(INDEX(Width,ROWS(A$1:A1))=0,"", INDEX(Width,ROWS(A$1:A1))),"")</f>
        <v/>
      </c>
      <c r="G2" t="str" cm="1">
        <f t="array" ref="G2">IFERROR(IF(INDEX(Depth,ROWS(A$1:A1))=0,"", INDEX(Depth,ROWS(A$1:A1))),"")</f>
        <v/>
      </c>
      <c r="H2" t="str" cm="1">
        <f t="array" ref="H2">IFERROR(IF(INDEX(Height,ROWS(A$1:A1))=0,"", INDEX(Height,ROWS(A$1:A1))),"")</f>
        <v/>
      </c>
      <c r="K2" t="str" cm="1">
        <f t="array" ref="K2">IFERROR(IF(INDEX(Primer,ROWS(A$1:A1))=0,"", INDEX(Primer,ROWS(A$1:A1))),"")</f>
        <v/>
      </c>
      <c r="L2" t="str" cm="1">
        <f t="array" ref="L2">IFERROR(IF(INDEX(Finish,ROWS(A$1:A1))=0,"", INDEX(Finish,ROWS(A$1:A1))),"")</f>
        <v/>
      </c>
    </row>
    <row r="3" spans="1:17" x14ac:dyDescent="0.2">
      <c r="A3" s="26" t="str">
        <f>IF(Name&lt;&gt;0, Name, "")</f>
        <v>Kiara Burcher</v>
      </c>
      <c r="B3" cm="1">
        <f t="array" ref="B3">IFERROR(IF(INDEX(Items,ROWS(A$1:A2))=0,"", INDEX(Items,ROWS(A$1:A2))),"")</f>
        <v>2</v>
      </c>
      <c r="C3" t="str" cm="1">
        <f t="array" ref="C3">IFERROR(IF(INDEX(Area,ROWS(A$1:A2))=0,"", INDEX(Area,ROWS(A$1:A2))),"")</f>
        <v>Bedroom</v>
      </c>
      <c r="D3" t="b" cm="1">
        <f t="array" ref="D3">IFERROR(IF(INDEX(Ceiling,ROWS(A$1:A2))=0,"", INDEX(Ceiling,ROWS(A$1:A2))),"")</f>
        <v>0</v>
      </c>
      <c r="E3" t="b" cm="1">
        <f t="array" ref="E3">IFERROR(IF(INDEX(Baseboard,ROWS(A$1:A2))=0,"", INDEX(Baseboard,ROWS(A$1:A2))),"")</f>
        <v>0</v>
      </c>
      <c r="F3" t="str" cm="1">
        <f t="array" ref="F3">IFERROR(IF(INDEX(Width,ROWS(A$1:A2))=0,"", INDEX(Width,ROWS(A$1:A2))),"")</f>
        <v/>
      </c>
      <c r="G3" t="str" cm="1">
        <f t="array" ref="G3">IFERROR(IF(INDEX(Depth,ROWS(A$1:A2))=0,"", INDEX(Depth,ROWS(A$1:A2))),"")</f>
        <v/>
      </c>
      <c r="H3" t="str" cm="1">
        <f t="array" ref="H3">IFERROR(IF(INDEX(Height,ROWS(A$1:A2))=0,"", INDEX(Height,ROWS(A$1:A2))),"")</f>
        <v/>
      </c>
      <c r="K3" t="str" cm="1">
        <f t="array" ref="K3">IFERROR(IF(INDEX(Primer,ROWS(A$1:A2))=0,"", INDEX(Primer,ROWS(A$1:A2))),"")</f>
        <v/>
      </c>
      <c r="L3" t="str" cm="1">
        <f t="array" ref="L3">IFERROR(IF(INDEX(Finish,ROWS(A$1:A2))=0,"", INDEX(Finish,ROWS(A$1:A2))),"")</f>
        <v/>
      </c>
    </row>
    <row r="4" spans="1:17" x14ac:dyDescent="0.2">
      <c r="A4" s="26" t="str">
        <f>IF(Name&lt;&gt;0, Name, "")</f>
        <v>Kiara Burcher</v>
      </c>
      <c r="B4" cm="1">
        <f t="array" ref="B4">IFERROR(IF(INDEX(Items,ROWS(A$1:A3))=0,"", INDEX(Items,ROWS(A$1:A3))),"")</f>
        <v>3</v>
      </c>
      <c r="C4" t="str" cm="1">
        <f t="array" ref="C4">IFERROR(IF(INDEX(Area,ROWS(A$1:A3))=0,"", INDEX(Area,ROWS(A$1:A3))),"")</f>
        <v/>
      </c>
      <c r="D4" t="b" cm="1">
        <f t="array" ref="D4">IFERROR(IF(INDEX(Ceiling,ROWS(A$1:A3))=0,"", INDEX(Ceiling,ROWS(A$1:A3))),"")</f>
        <v>0</v>
      </c>
      <c r="E4" t="b" cm="1">
        <f t="array" ref="E4">IFERROR(IF(INDEX(Baseboard,ROWS(A$1:A3))=0,"", INDEX(Baseboard,ROWS(A$1:A3))),"")</f>
        <v>0</v>
      </c>
      <c r="F4" t="str" cm="1">
        <f t="array" ref="F4">IFERROR(IF(INDEX(Width,ROWS(A$1:A3))=0,"", INDEX(Width,ROWS(A$1:A3))),"")</f>
        <v/>
      </c>
      <c r="G4" t="str" cm="1">
        <f t="array" ref="G4">IFERROR(IF(INDEX(Depth,ROWS(A$1:A3))=0,"", INDEX(Depth,ROWS(A$1:A3))),"")</f>
        <v/>
      </c>
      <c r="H4" t="str" cm="1">
        <f t="array" ref="H4">IFERROR(IF(INDEX(Height,ROWS(A$1:A3))=0,"", INDEX(Height,ROWS(A$1:A3))),"")</f>
        <v/>
      </c>
      <c r="K4" t="str" cm="1">
        <f t="array" ref="K4">IFERROR(IF(INDEX(Primer,ROWS(A$1:A3))=0,"", INDEX(Primer,ROWS(A$1:A3))),"")</f>
        <v/>
      </c>
      <c r="L4" t="str" cm="1">
        <f t="array" ref="L4">IFERROR(IF(INDEX(Finish,ROWS(A$1:A3))=0,"", INDEX(Finish,ROWS(A$1:A3))),"")</f>
        <v/>
      </c>
    </row>
    <row r="5" spans="1:17" x14ac:dyDescent="0.2">
      <c r="A5" s="26" t="str">
        <f>IF(Name&lt;&gt;0, Name, "")</f>
        <v>Kiara Burcher</v>
      </c>
      <c r="B5" cm="1">
        <f t="array" ref="B5">IFERROR(IF(INDEX(Items,ROWS(A$1:A4))=0,"", INDEX(Items,ROWS(A$1:A4))),"")</f>
        <v>4</v>
      </c>
      <c r="C5" t="str" cm="1">
        <f t="array" ref="C5">IFERROR(IF(INDEX(Area,ROWS(A$1:A4))=0,"", INDEX(Area,ROWS(A$1:A4))),"")</f>
        <v/>
      </c>
      <c r="D5" t="b" cm="1">
        <f t="array" ref="D5">IFERROR(IF(INDEX(Ceiling,ROWS(A$1:A4))=0,"", INDEX(Ceiling,ROWS(A$1:A4))),"")</f>
        <v>0</v>
      </c>
      <c r="E5" t="b" cm="1">
        <f t="array" ref="E5">IFERROR(IF(INDEX(Baseboard,ROWS(A$1:A4))=0,"", INDEX(Baseboard,ROWS(A$1:A4))),"")</f>
        <v>0</v>
      </c>
      <c r="F5" t="str" cm="1">
        <f t="array" ref="F5">IFERROR(IF(INDEX(Width,ROWS(A$1:A4))=0,"", INDEX(Width,ROWS(A$1:A4))),"")</f>
        <v/>
      </c>
      <c r="G5" t="str" cm="1">
        <f t="array" ref="G5">IFERROR(IF(INDEX(Depth,ROWS(A$1:A4))=0,"", INDEX(Depth,ROWS(A$1:A4))),"")</f>
        <v/>
      </c>
      <c r="H5" t="str" cm="1">
        <f t="array" ref="H5">IFERROR(IF(INDEX(Height,ROWS(A$1:A4))=0,"", INDEX(Height,ROWS(A$1:A4))),"")</f>
        <v/>
      </c>
      <c r="K5" t="str" cm="1">
        <f t="array" ref="K5">IFERROR(IF(INDEX(Primer,ROWS(A$1:A4))=0,"", INDEX(Primer,ROWS(A$1:A4))),"")</f>
        <v/>
      </c>
      <c r="L5" t="str" cm="1">
        <f t="array" ref="L5">IFERROR(IF(INDEX(Finish,ROWS(A$1:A4))=0,"", INDEX(Finish,ROWS(A$1:A4))),"")</f>
        <v/>
      </c>
    </row>
    <row r="6" spans="1:17" x14ac:dyDescent="0.2">
      <c r="A6" s="26" t="str">
        <f>IF(Name&lt;&gt;0, Name, "")</f>
        <v>Kiara Burcher</v>
      </c>
      <c r="B6" cm="1">
        <f t="array" ref="B6">IFERROR(IF(INDEX(Items,ROWS(A$1:A5))=0,"", INDEX(Items,ROWS(A$1:A5))),"")</f>
        <v>5</v>
      </c>
      <c r="C6" t="str" cm="1">
        <f t="array" ref="C6">IFERROR(IF(INDEX(Area,ROWS(A$1:A5))=0,"", INDEX(Area,ROWS(A$1:A5))),"")</f>
        <v/>
      </c>
      <c r="D6" t="b" cm="1">
        <f t="array" ref="D6">IFERROR(IF(INDEX(Ceiling,ROWS(A$1:A5))=0,"", INDEX(Ceiling,ROWS(A$1:A5))),"")</f>
        <v>0</v>
      </c>
      <c r="E6" t="b" cm="1">
        <f t="array" ref="E6">IFERROR(IF(INDEX(Baseboard,ROWS(A$1:A5))=0,"", INDEX(Baseboard,ROWS(A$1:A5))),"")</f>
        <v>0</v>
      </c>
      <c r="F6" t="str" cm="1">
        <f t="array" ref="F6">IFERROR(IF(INDEX(Width,ROWS(A$1:A5))=0,"", INDEX(Width,ROWS(A$1:A5))),"")</f>
        <v/>
      </c>
      <c r="G6" t="str" cm="1">
        <f t="array" ref="G6">IFERROR(IF(INDEX(Depth,ROWS(A$1:A5))=0,"", INDEX(Depth,ROWS(A$1:A5))),"")</f>
        <v/>
      </c>
      <c r="H6" t="str" cm="1">
        <f t="array" ref="H6">IFERROR(IF(INDEX(Height,ROWS(A$1:A5))=0,"", INDEX(Height,ROWS(A$1:A5))),"")</f>
        <v/>
      </c>
      <c r="K6" t="str" cm="1">
        <f t="array" ref="K6">IFERROR(IF(INDEX(Primer,ROWS(A$1:A5))=0,"", INDEX(Primer,ROWS(A$1:A5))),"")</f>
        <v/>
      </c>
      <c r="L6" t="str" cm="1">
        <f t="array" ref="L6">IFERROR(IF(INDEX(Finish,ROWS(A$1:A5))=0,"", INDEX(Finish,ROWS(A$1:A5))),"")</f>
        <v/>
      </c>
    </row>
    <row r="7" spans="1:17" x14ac:dyDescent="0.2">
      <c r="A7" s="26" t="str">
        <f>IF(Name&lt;&gt;0, Name, "")</f>
        <v>Kiara Burcher</v>
      </c>
      <c r="B7" cm="1">
        <f t="array" ref="B7">IFERROR(IF(INDEX(Items,ROWS(A$1:A6))=0,"", INDEX(Items,ROWS(A$1:A6))),"")</f>
        <v>6</v>
      </c>
      <c r="C7" t="str" cm="1">
        <f t="array" ref="C7">IFERROR(IF(INDEX(Area,ROWS(A$1:A6))=0,"", INDEX(Area,ROWS(A$1:A6))),"")</f>
        <v/>
      </c>
      <c r="D7" t="b" cm="1">
        <f t="array" ref="D7">IFERROR(IF(INDEX(Ceiling,ROWS(A$1:A6))=0,"", INDEX(Ceiling,ROWS(A$1:A6))),"")</f>
        <v>0</v>
      </c>
      <c r="E7" t="b" cm="1">
        <f t="array" ref="E7">IFERROR(IF(INDEX(Baseboard,ROWS(A$1:A6))=0,"", INDEX(Baseboard,ROWS(A$1:A6))),"")</f>
        <v>0</v>
      </c>
      <c r="F7" t="str" cm="1">
        <f t="array" ref="F7">IFERROR(IF(INDEX(Width,ROWS(A$1:A6))=0,"", INDEX(Width,ROWS(A$1:A6))),"")</f>
        <v/>
      </c>
      <c r="G7" t="str" cm="1">
        <f t="array" ref="G7">IFERROR(IF(INDEX(Depth,ROWS(A$1:A6))=0,"", INDEX(Depth,ROWS(A$1:A6))),"")</f>
        <v/>
      </c>
      <c r="H7" t="str" cm="1">
        <f t="array" ref="H7">IFERROR(IF(INDEX(Height,ROWS(A$1:A6))=0,"", INDEX(Height,ROWS(A$1:A6))),"")</f>
        <v/>
      </c>
      <c r="K7" t="str" cm="1">
        <f t="array" ref="K7">IFERROR(IF(INDEX(Primer,ROWS(A$1:A6))=0,"", INDEX(Primer,ROWS(A$1:A6))),"")</f>
        <v/>
      </c>
      <c r="L7" t="str" cm="1">
        <f t="array" ref="L7">IFERROR(IF(INDEX(Finish,ROWS(A$1:A6))=0,"", INDEX(Finish,ROWS(A$1:A6))),"")</f>
        <v/>
      </c>
    </row>
    <row r="8" spans="1:17" x14ac:dyDescent="0.2">
      <c r="A8" s="26" t="str">
        <f>IF(Name&lt;&gt;0, Name, "")</f>
        <v>Kiara Burcher</v>
      </c>
      <c r="B8" cm="1">
        <f t="array" ref="B8">IFERROR(IF(INDEX(Items,ROWS(A$1:A7))=0,"", INDEX(Items,ROWS(A$1:A7))),"")</f>
        <v>7</v>
      </c>
      <c r="C8" t="str" cm="1">
        <f t="array" ref="C8">IFERROR(IF(INDEX(Area,ROWS(A$1:A7))=0,"", INDEX(Area,ROWS(A$1:A7))),"")</f>
        <v/>
      </c>
      <c r="D8" t="b" cm="1">
        <f t="array" ref="D8">IFERROR(IF(INDEX(Ceiling,ROWS(A$1:A7))=0,"", INDEX(Ceiling,ROWS(A$1:A7))),"")</f>
        <v>0</v>
      </c>
      <c r="E8" t="b" cm="1">
        <f t="array" ref="E8">IFERROR(IF(INDEX(Baseboard,ROWS(A$1:A7))=0,"", INDEX(Baseboard,ROWS(A$1:A7))),"")</f>
        <v>0</v>
      </c>
      <c r="F8" t="str" cm="1">
        <f t="array" ref="F8">IFERROR(IF(INDEX(Width,ROWS(A$1:A7))=0,"", INDEX(Width,ROWS(A$1:A7))),"")</f>
        <v/>
      </c>
      <c r="G8" t="str" cm="1">
        <f t="array" ref="G8">IFERROR(IF(INDEX(Depth,ROWS(A$1:A7))=0,"", INDEX(Depth,ROWS(A$1:A7))),"")</f>
        <v/>
      </c>
      <c r="H8" t="str" cm="1">
        <f t="array" ref="H8">IFERROR(IF(INDEX(Height,ROWS(A$1:A7))=0,"", INDEX(Height,ROWS(A$1:A7))),"")</f>
        <v/>
      </c>
      <c r="K8" t="str" cm="1">
        <f t="array" ref="K8">IFERROR(IF(INDEX(Primer,ROWS(A$1:A7))=0,"", INDEX(Primer,ROWS(A$1:A7))),"")</f>
        <v/>
      </c>
      <c r="L8" t="str" cm="1">
        <f t="array" ref="L8">IFERROR(IF(INDEX(Finish,ROWS(A$1:A7))=0,"", INDEX(Finish,ROWS(A$1:A7))),"")</f>
        <v/>
      </c>
    </row>
    <row r="9" spans="1:17" x14ac:dyDescent="0.2">
      <c r="A9" s="26" t="str">
        <f>IF(Name&lt;&gt;0, Name, "")</f>
        <v>Kiara Burcher</v>
      </c>
      <c r="B9" cm="1">
        <f t="array" ref="B9">IFERROR(IF(INDEX(Items,ROWS(A$1:A8))=0,"", INDEX(Items,ROWS(A$1:A8))),"")</f>
        <v>8</v>
      </c>
      <c r="C9" t="str" cm="1">
        <f t="array" ref="C9">IFERROR(IF(INDEX(Area,ROWS(A$1:A8))=0,"", INDEX(Area,ROWS(A$1:A8))),"")</f>
        <v/>
      </c>
      <c r="D9" t="b" cm="1">
        <f t="array" ref="D9">IFERROR(IF(INDEX(Ceiling,ROWS(A$1:A8))=0,"", INDEX(Ceiling,ROWS(A$1:A8))),"")</f>
        <v>0</v>
      </c>
      <c r="E9" t="b" cm="1">
        <f t="array" ref="E9">IFERROR(IF(INDEX(Baseboard,ROWS(A$1:A8))=0,"", INDEX(Baseboard,ROWS(A$1:A8))),"")</f>
        <v>0</v>
      </c>
      <c r="F9" t="str" cm="1">
        <f t="array" ref="F9">IFERROR(IF(INDEX(Width,ROWS(A$1:A8))=0,"", INDEX(Width,ROWS(A$1:A8))),"")</f>
        <v/>
      </c>
      <c r="G9" t="str" cm="1">
        <f t="array" ref="G9">IFERROR(IF(INDEX(Depth,ROWS(A$1:A8))=0,"", INDEX(Depth,ROWS(A$1:A8))),"")</f>
        <v/>
      </c>
      <c r="H9" t="str" cm="1">
        <f t="array" ref="H9">IFERROR(IF(INDEX(Height,ROWS(A$1:A8))=0,"", INDEX(Height,ROWS(A$1:A8))),"")</f>
        <v/>
      </c>
      <c r="K9" t="str" cm="1">
        <f t="array" ref="K9">IFERROR(IF(INDEX(Primer,ROWS(A$1:A8))=0,"", INDEX(Primer,ROWS(A$1:A8))),"")</f>
        <v/>
      </c>
      <c r="L9" t="str" cm="1">
        <f t="array" ref="L9">IFERROR(IF(INDEX(Finish,ROWS(A$1:A8))=0,"", INDEX(Finish,ROWS(A$1:A8))),"")</f>
        <v/>
      </c>
    </row>
    <row r="10" spans="1:17" x14ac:dyDescent="0.2">
      <c r="A10" s="26" t="str">
        <f>IF(Name&lt;&gt;0, Name, "")</f>
        <v>Kiara Burcher</v>
      </c>
      <c r="B10" cm="1">
        <f t="array" ref="B10">IFERROR(IF(INDEX(Items,ROWS(A$1:A9))=0,"", INDEX(Items,ROWS(A$1:A9))),"")</f>
        <v>9</v>
      </c>
      <c r="C10" t="str" cm="1">
        <f t="array" ref="C10">IFERROR(IF(INDEX(Area,ROWS(A$1:A9))=0,"", INDEX(Area,ROWS(A$1:A9))),"")</f>
        <v/>
      </c>
      <c r="D10" t="b" cm="1">
        <f t="array" ref="D10">IFERROR(IF(INDEX(Ceiling,ROWS(A$1:A9))=0,"", INDEX(Ceiling,ROWS(A$1:A9))),"")</f>
        <v>0</v>
      </c>
      <c r="E10" t="b" cm="1">
        <f t="array" ref="E10">IFERROR(IF(INDEX(Baseboard,ROWS(A$1:A9))=0,"", INDEX(Baseboard,ROWS(A$1:A9))),"")</f>
        <v>0</v>
      </c>
      <c r="F10" t="str" cm="1">
        <f t="array" ref="F10">IFERROR(IF(INDEX(Width,ROWS(A$1:A9))=0,"", INDEX(Width,ROWS(A$1:A9))),"")</f>
        <v/>
      </c>
      <c r="G10" t="str" cm="1">
        <f t="array" ref="G10">IFERROR(IF(INDEX(Depth,ROWS(A$1:A9))=0,"", INDEX(Depth,ROWS(A$1:A9))),"")</f>
        <v/>
      </c>
      <c r="H10" t="str" cm="1">
        <f t="array" ref="H10">IFERROR(IF(INDEX(Height,ROWS(A$1:A9))=0,"", INDEX(Height,ROWS(A$1:A9))),"")</f>
        <v/>
      </c>
      <c r="K10" t="str" cm="1">
        <f t="array" ref="K10">IFERROR(IF(INDEX(Primer,ROWS(A$1:A9))=0,"", INDEX(Primer,ROWS(A$1:A9))),"")</f>
        <v/>
      </c>
      <c r="L10" t="str" cm="1">
        <f t="array" ref="L10">IFERROR(IF(INDEX(Finish,ROWS(A$1:A9))=0,"", INDEX(Finish,ROWS(A$1:A9))),"")</f>
        <v/>
      </c>
    </row>
    <row r="11" spans="1:17" x14ac:dyDescent="0.2">
      <c r="A11" s="26" t="str">
        <f>IF(Name&lt;&gt;0, Name, "")</f>
        <v>Kiara Burcher</v>
      </c>
      <c r="B11" cm="1">
        <f t="array" ref="B11">IFERROR(IF(INDEX(Items,ROWS(A$1:A10))=0,"", INDEX(Items,ROWS(A$1:A10))),"")</f>
        <v>10</v>
      </c>
      <c r="C11" t="str" cm="1">
        <f t="array" ref="C11">IFERROR(IF(INDEX(Area,ROWS(A$1:A10))=0,"", INDEX(Area,ROWS(A$1:A10))),"")</f>
        <v/>
      </c>
      <c r="D11" t="b" cm="1">
        <f t="array" ref="D11">IFERROR(IF(INDEX(Ceiling,ROWS(A$1:A10))=0,"", INDEX(Ceiling,ROWS(A$1:A10))),"")</f>
        <v>0</v>
      </c>
      <c r="E11" t="b" cm="1">
        <f t="array" ref="E11">IFERROR(IF(INDEX(Baseboard,ROWS(A$1:A10))=0,"", INDEX(Baseboard,ROWS(A$1:A10))),"")</f>
        <v>0</v>
      </c>
      <c r="F11" t="str" cm="1">
        <f t="array" ref="F11">IFERROR(IF(INDEX(Width,ROWS(A$1:A10))=0,"", INDEX(Width,ROWS(A$1:A10))),"")</f>
        <v/>
      </c>
      <c r="G11" t="str" cm="1">
        <f t="array" ref="G11">IFERROR(IF(INDEX(Depth,ROWS(A$1:A10))=0,"", INDEX(Depth,ROWS(A$1:A10))),"")</f>
        <v/>
      </c>
      <c r="H11" t="str" cm="1">
        <f t="array" ref="H11">IFERROR(IF(INDEX(Height,ROWS(A$1:A10))=0,"", INDEX(Height,ROWS(A$1:A10))),"")</f>
        <v/>
      </c>
      <c r="K11" t="str" cm="1">
        <f t="array" ref="K11">IFERROR(IF(INDEX(Primer,ROWS(A$1:A10))=0,"", INDEX(Primer,ROWS(A$1:A10))),"")</f>
        <v/>
      </c>
      <c r="L11" t="str" cm="1">
        <f t="array" ref="L11">IFERROR(IF(INDEX(Finish,ROWS(A$1:A10))=0,"", INDEX(Finish,ROWS(A$1:A10))),"")</f>
        <v/>
      </c>
    </row>
    <row r="12" spans="1:17" x14ac:dyDescent="0.2">
      <c r="A12" s="26" t="str">
        <f>IF(Name&lt;&gt;0, Name, "")</f>
        <v>Kiara Burcher</v>
      </c>
      <c r="B12" cm="1">
        <f t="array" ref="B12">IFERROR(IF(INDEX(Items,ROWS(A$1:A11))=0,"", INDEX(Items,ROWS(A$1:A11))),"")</f>
        <v>11</v>
      </c>
      <c r="C12" t="str" cm="1">
        <f t="array" ref="C12">IFERROR(IF(INDEX(Area,ROWS(A$1:A11))=0,"", INDEX(Area,ROWS(A$1:A11))),"")</f>
        <v/>
      </c>
      <c r="D12" t="b" cm="1">
        <f t="array" ref="D12">IFERROR(IF(INDEX(Ceiling,ROWS(A$1:A11))=0,"", INDEX(Ceiling,ROWS(A$1:A11))),"")</f>
        <v>0</v>
      </c>
      <c r="E12" t="b" cm="1">
        <f t="array" ref="E12">IFERROR(IF(INDEX(Baseboard,ROWS(A$1:A11))=0,"", INDEX(Baseboard,ROWS(A$1:A11))),"")</f>
        <v>0</v>
      </c>
      <c r="F12" t="str" cm="1">
        <f t="array" ref="F12">IFERROR(IF(INDEX(Width,ROWS(A$1:A11))=0,"", INDEX(Width,ROWS(A$1:A11))),"")</f>
        <v/>
      </c>
      <c r="G12" t="str" cm="1">
        <f t="array" ref="G12">IFERROR(IF(INDEX(Depth,ROWS(A$1:A11))=0,"", INDEX(Depth,ROWS(A$1:A11))),"")</f>
        <v/>
      </c>
      <c r="H12" t="str" cm="1">
        <f t="array" ref="H12">IFERROR(IF(INDEX(Height,ROWS(A$1:A11))=0,"", INDEX(Height,ROWS(A$1:A11))),"")</f>
        <v/>
      </c>
      <c r="K12" t="str" cm="1">
        <f t="array" ref="K12">IFERROR(IF(INDEX(Primer,ROWS(A$1:A11))=0,"", INDEX(Primer,ROWS(A$1:A11))),"")</f>
        <v/>
      </c>
      <c r="L12" t="str" cm="1">
        <f t="array" ref="L12">IFERROR(IF(INDEX(Finish,ROWS(A$1:A11))=0,"", INDEX(Finish,ROWS(A$1:A11))),"")</f>
        <v/>
      </c>
    </row>
    <row r="13" spans="1:17" x14ac:dyDescent="0.2">
      <c r="A13" s="26" t="str">
        <f>IF(Name&lt;&gt;0, Name, "")</f>
        <v>Kiara Burcher</v>
      </c>
      <c r="B13" cm="1">
        <f t="array" ref="B13">IFERROR(IF(INDEX(Items,ROWS(A$1:A12))=0,"", INDEX(Items,ROWS(A$1:A12))),"")</f>
        <v>12</v>
      </c>
      <c r="C13" t="str" cm="1">
        <f t="array" ref="C13">IFERROR(IF(INDEX(Area,ROWS(A$1:A12))=0,"", INDEX(Area,ROWS(A$1:A12))),"")</f>
        <v/>
      </c>
      <c r="D13" t="b" cm="1">
        <f t="array" ref="D13">IFERROR(IF(INDEX(Ceiling,ROWS(A$1:A12))=0,"", INDEX(Ceiling,ROWS(A$1:A12))),"")</f>
        <v>0</v>
      </c>
      <c r="E13" t="b" cm="1">
        <f t="array" ref="E13">IFERROR(IF(INDEX(Baseboard,ROWS(A$1:A12))=0,"", INDEX(Baseboard,ROWS(A$1:A12))),"")</f>
        <v>0</v>
      </c>
      <c r="F13" t="str" cm="1">
        <f t="array" ref="F13">IFERROR(IF(INDEX(Width,ROWS(A$1:A12))=0,"", INDEX(Width,ROWS(A$1:A12))),"")</f>
        <v/>
      </c>
      <c r="G13" t="str" cm="1">
        <f t="array" ref="G13">IFERROR(IF(INDEX(Depth,ROWS(A$1:A12))=0,"", INDEX(Depth,ROWS(A$1:A12))),"")</f>
        <v/>
      </c>
      <c r="H13" t="str" cm="1">
        <f t="array" ref="H13">IFERROR(IF(INDEX(Height,ROWS(A$1:A12))=0,"", INDEX(Height,ROWS(A$1:A12))),"")</f>
        <v/>
      </c>
      <c r="K13" t="str" cm="1">
        <f t="array" ref="K13">IFERROR(IF(INDEX(Primer,ROWS(A$1:A12))=0,"", INDEX(Primer,ROWS(A$1:A12))),"")</f>
        <v/>
      </c>
      <c r="L13" t="str" cm="1">
        <f t="array" ref="L13">IFERROR(IF(INDEX(Finish,ROWS(A$1:A12))=0,"", INDEX(Finish,ROWS(A$1:A12))),"")</f>
        <v/>
      </c>
    </row>
    <row r="14" spans="1:17" x14ac:dyDescent="0.2">
      <c r="A14" s="26" t="str">
        <f>IF(Name&lt;&gt;0, Name, "")</f>
        <v>Kiara Burcher</v>
      </c>
      <c r="B14" cm="1">
        <f t="array" ref="B14">IFERROR(IF(INDEX(Items,ROWS(A$1:A13))=0,"", INDEX(Items,ROWS(A$1:A13))),"")</f>
        <v>13</v>
      </c>
      <c r="C14" t="str" cm="1">
        <f t="array" ref="C14">IFERROR(IF(INDEX(Area,ROWS(A$1:A13))=0,"", INDEX(Area,ROWS(A$1:A13))),"")</f>
        <v/>
      </c>
      <c r="D14" t="b" cm="1">
        <f t="array" ref="D14">IFERROR(IF(INDEX(Ceiling,ROWS(A$1:A13))=0,"", INDEX(Ceiling,ROWS(A$1:A13))),"")</f>
        <v>0</v>
      </c>
      <c r="E14" t="b" cm="1">
        <f t="array" ref="E14">IFERROR(IF(INDEX(Baseboard,ROWS(A$1:A13))=0,"", INDEX(Baseboard,ROWS(A$1:A13))),"")</f>
        <v>0</v>
      </c>
      <c r="F14" t="str" cm="1">
        <f t="array" ref="F14">IFERROR(IF(INDEX(Width,ROWS(A$1:A13))=0,"", INDEX(Width,ROWS(A$1:A13))),"")</f>
        <v/>
      </c>
      <c r="G14" t="str" cm="1">
        <f t="array" ref="G14">IFERROR(IF(INDEX(Depth,ROWS(A$1:A13))=0,"", INDEX(Depth,ROWS(A$1:A13))),"")</f>
        <v/>
      </c>
      <c r="H14" t="str" cm="1">
        <f t="array" ref="H14">IFERROR(IF(INDEX(Height,ROWS(A$1:A13))=0,"", INDEX(Height,ROWS(A$1:A13))),"")</f>
        <v/>
      </c>
      <c r="K14" t="str" cm="1">
        <f t="array" ref="K14">IFERROR(IF(INDEX(Primer,ROWS(A$1:A13))=0,"", INDEX(Primer,ROWS(A$1:A13))),"")</f>
        <v/>
      </c>
      <c r="L14" t="str" cm="1">
        <f t="array" ref="L14">IFERROR(IF(INDEX(Finish,ROWS(A$1:A13))=0,"", INDEX(Finish,ROWS(A$1:A13))),"")</f>
        <v/>
      </c>
    </row>
    <row r="15" spans="1:17" x14ac:dyDescent="0.2">
      <c r="A15" s="26" t="str">
        <f>IF(Name&lt;&gt;0, Name, "")</f>
        <v>Kiara Burcher</v>
      </c>
      <c r="B15" cm="1">
        <f t="array" ref="B15">IFERROR(IF(INDEX(Items,ROWS(A$1:A14))=0,"", INDEX(Items,ROWS(A$1:A14))),"")</f>
        <v>14</v>
      </c>
      <c r="C15" t="str" cm="1">
        <f t="array" ref="C15">IFERROR(IF(INDEX(Area,ROWS(A$1:A14))=0,"", INDEX(Area,ROWS(A$1:A14))),"")</f>
        <v/>
      </c>
      <c r="D15" t="b" cm="1">
        <f t="array" ref="D15">IFERROR(IF(INDEX(Ceiling,ROWS(A$1:A14))=0,"", INDEX(Ceiling,ROWS(A$1:A14))),"")</f>
        <v>0</v>
      </c>
      <c r="E15" t="b" cm="1">
        <f t="array" ref="E15">IFERROR(IF(INDEX(Baseboard,ROWS(A$1:A14))=0,"", INDEX(Baseboard,ROWS(A$1:A14))),"")</f>
        <v>0</v>
      </c>
      <c r="F15" t="str" cm="1">
        <f t="array" ref="F15">IFERROR(IF(INDEX(Width,ROWS(A$1:A14))=0,"", INDEX(Width,ROWS(A$1:A14))),"")</f>
        <v/>
      </c>
      <c r="G15" t="str" cm="1">
        <f t="array" ref="G15">IFERROR(IF(INDEX(Depth,ROWS(A$1:A14))=0,"", INDEX(Depth,ROWS(A$1:A14))),"")</f>
        <v/>
      </c>
      <c r="H15" t="str" cm="1">
        <f t="array" ref="H15">IFERROR(IF(INDEX(Height,ROWS(A$1:A14))=0,"", INDEX(Height,ROWS(A$1:A14))),"")</f>
        <v/>
      </c>
      <c r="K15" t="str" cm="1">
        <f t="array" ref="K15">IFERROR(IF(INDEX(Primer,ROWS(A$1:A14))=0,"", INDEX(Primer,ROWS(A$1:A14))),"")</f>
        <v/>
      </c>
      <c r="L15" t="str" cm="1">
        <f t="array" ref="L15">IFERROR(IF(INDEX(Finish,ROWS(A$1:A14))=0,"", INDEX(Finish,ROWS(A$1:A14))),"")</f>
        <v/>
      </c>
    </row>
    <row r="16" spans="1:17" x14ac:dyDescent="0.2">
      <c r="A16" s="26" t="str">
        <f>IF(Name&lt;&gt;0, Name, "")</f>
        <v>Kiara Burcher</v>
      </c>
      <c r="B16" cm="1">
        <f t="array" ref="B16">IFERROR(IF(INDEX(Items,ROWS(A$1:A15))=0,"", INDEX(Items,ROWS(A$1:A15))),"")</f>
        <v>15</v>
      </c>
      <c r="C16" t="str" cm="1">
        <f t="array" ref="C16">IFERROR(IF(INDEX(Area,ROWS(A$1:A15))=0,"", INDEX(Area,ROWS(A$1:A15))),"")</f>
        <v/>
      </c>
      <c r="D16" t="b" cm="1">
        <f t="array" ref="D16">IFERROR(IF(INDEX(Ceiling,ROWS(A$1:A15))=0,"", INDEX(Ceiling,ROWS(A$1:A15))),"")</f>
        <v>0</v>
      </c>
      <c r="E16" t="b" cm="1">
        <f t="array" ref="E16">IFERROR(IF(INDEX(Baseboard,ROWS(A$1:A15))=0,"", INDEX(Baseboard,ROWS(A$1:A15))),"")</f>
        <v>0</v>
      </c>
      <c r="F16" t="str" cm="1">
        <f t="array" ref="F16">IFERROR(IF(INDEX(Width,ROWS(A$1:A15))=0,"", INDEX(Width,ROWS(A$1:A15))),"")</f>
        <v/>
      </c>
      <c r="G16" t="str" cm="1">
        <f t="array" ref="G16">IFERROR(IF(INDEX(Depth,ROWS(A$1:A15))=0,"", INDEX(Depth,ROWS(A$1:A15))),"")</f>
        <v/>
      </c>
      <c r="H16" t="str" cm="1">
        <f t="array" ref="H16">IFERROR(IF(INDEX(Height,ROWS(A$1:A15))=0,"", INDEX(Height,ROWS(A$1:A15))),"")</f>
        <v/>
      </c>
      <c r="K16" t="str" cm="1">
        <f t="array" ref="K16">IFERROR(IF(INDEX(Primer,ROWS(A$1:A15))=0,"", INDEX(Primer,ROWS(A$1:A15))),"")</f>
        <v/>
      </c>
      <c r="L16" t="str" cm="1">
        <f t="array" ref="L16">IFERROR(IF(INDEX(Finish,ROWS(A$1:A15))=0,"", INDEX(Finish,ROWS(A$1:A15))),"")</f>
        <v/>
      </c>
    </row>
    <row r="17" spans="1:12" x14ac:dyDescent="0.2">
      <c r="A17" s="26" t="str">
        <f>IF(Name&lt;&gt;0, Name, "")</f>
        <v>Kiara Burcher</v>
      </c>
      <c r="B17" t="str" cm="1">
        <f t="array" ref="B17">IFERROR(IF(INDEX(Items,ROWS(A$1:A16))=0,"", INDEX(Items,ROWS(A$1:A16))),"")</f>
        <v/>
      </c>
      <c r="C17" t="str" cm="1">
        <f t="array" ref="C17">IFERROR(IF(INDEX(Area,ROWS(A$1:A16))=0,"", INDEX(Area,ROWS(A$1:A16))),"")</f>
        <v/>
      </c>
      <c r="D17" t="str" cm="1">
        <f t="array" ref="D17">IFERROR(IF(INDEX(Ceiling,ROWS(A$1:A16))=0,"", INDEX(Ceiling,ROWS(A$1:A16))),"")</f>
        <v/>
      </c>
      <c r="E17" t="str" cm="1">
        <f t="array" ref="E17">IFERROR(IF(INDEX(Baseboard,ROWS(A$1:A16))=0,"", INDEX(Baseboard,ROWS(A$1:A16))),"")</f>
        <v/>
      </c>
      <c r="F17" t="str" cm="1">
        <f t="array" ref="F17">IFERROR(IF(INDEX(Width,ROWS(A$1:A16))=0,"", INDEX(Width,ROWS(A$1:A16))),"")</f>
        <v/>
      </c>
      <c r="G17" t="str" cm="1">
        <f t="array" ref="G17">IFERROR(IF(INDEX(Depth,ROWS(A$1:A16))=0,"", INDEX(Depth,ROWS(A$1:A16))),"")</f>
        <v/>
      </c>
      <c r="H17" t="str" cm="1">
        <f t="array" ref="H17">IFERROR(IF(INDEX(Height,ROWS(A$1:A16))=0,"", INDEX(Height,ROWS(A$1:A16))),"")</f>
        <v/>
      </c>
      <c r="K17" t="str" cm="1">
        <f t="array" ref="K17">IFERROR(IF(INDEX(Primer,ROWS(A$1:A16))=0,"", INDEX(Primer,ROWS(A$1:A16))),"")</f>
        <v/>
      </c>
      <c r="L17" t="str" cm="1">
        <f t="array" ref="L17">IFERROR(IF(INDEX(Finish,ROWS(A$1:A16))=0,"", INDEX(Finish,ROWS(A$1:A16))),"")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F8BA-DEC7-5244-AD46-0E93000EEF12}">
  <dimension ref="A1:K17"/>
  <sheetViews>
    <sheetView topLeftCell="A3" workbookViewId="0">
      <selection activeCell="A9" sqref="A9:G26"/>
    </sheetView>
  </sheetViews>
  <sheetFormatPr baseColWidth="10" defaultRowHeight="16" x14ac:dyDescent="0.2"/>
  <cols>
    <col min="1" max="1" width="18.83203125" bestFit="1" customWidth="1"/>
  </cols>
  <sheetData>
    <row r="1" spans="1:11" x14ac:dyDescent="0.2">
      <c r="A1" s="2" t="s">
        <v>8</v>
      </c>
      <c r="B1" s="57" t="s">
        <v>40</v>
      </c>
      <c r="C1" s="57"/>
      <c r="D1" s="57"/>
      <c r="E1" s="3"/>
      <c r="F1" s="58" t="s">
        <v>9</v>
      </c>
      <c r="G1" s="59"/>
      <c r="H1" s="60"/>
      <c r="I1" s="3"/>
      <c r="J1" s="3"/>
      <c r="K1" s="3"/>
    </row>
    <row r="2" spans="1:11" x14ac:dyDescent="0.2">
      <c r="A2" s="2" t="s">
        <v>10</v>
      </c>
      <c r="B2" s="61"/>
      <c r="C2" s="61"/>
      <c r="D2" s="61"/>
      <c r="E2" s="3"/>
      <c r="F2" s="62"/>
      <c r="G2" s="63"/>
      <c r="H2" s="64"/>
      <c r="I2" s="3"/>
      <c r="J2" s="3"/>
      <c r="K2" s="3"/>
    </row>
    <row r="3" spans="1:11" x14ac:dyDescent="0.2">
      <c r="A3" s="2" t="s">
        <v>11</v>
      </c>
      <c r="B3" s="30"/>
      <c r="C3" s="30"/>
      <c r="D3" s="30"/>
      <c r="E3" s="3"/>
      <c r="F3" s="3" t="s">
        <v>24</v>
      </c>
      <c r="G3" s="23">
        <v>0.13</v>
      </c>
      <c r="H3" s="3"/>
      <c r="I3" s="3"/>
      <c r="J3" s="3"/>
      <c r="K3" s="3"/>
    </row>
    <row r="4" spans="1:11" x14ac:dyDescent="0.2">
      <c r="A4" s="2" t="s">
        <v>38</v>
      </c>
      <c r="B4" s="51"/>
      <c r="C4" s="51"/>
      <c r="D4" s="51"/>
      <c r="E4" s="3"/>
      <c r="F4" s="3"/>
      <c r="G4" s="3"/>
      <c r="H4" s="3"/>
      <c r="I4" s="3"/>
      <c r="J4" s="3"/>
      <c r="K4" s="3"/>
    </row>
    <row r="5" spans="1:11" x14ac:dyDescent="0.2">
      <c r="A5" s="2" t="s">
        <v>12</v>
      </c>
      <c r="B5" s="30"/>
      <c r="C5" s="30"/>
      <c r="D5" s="30"/>
      <c r="E5" s="3"/>
      <c r="F5" s="3"/>
      <c r="G5" s="3"/>
      <c r="H5" s="3"/>
      <c r="I5" s="3"/>
      <c r="J5" s="3"/>
      <c r="K5" s="3"/>
    </row>
    <row r="6" spans="1:1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2" t="s">
        <v>69</v>
      </c>
      <c r="B7" s="3" t="s">
        <v>70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2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H9" s="3"/>
      <c r="I9" s="3"/>
      <c r="J9" s="3"/>
      <c r="K9" s="3"/>
    </row>
    <row r="10" spans="1:11" x14ac:dyDescent="0.2">
      <c r="J10" s="66"/>
    </row>
    <row r="11" spans="1:11" x14ac:dyDescent="0.2">
      <c r="J11" s="66"/>
    </row>
    <row r="12" spans="1:11" x14ac:dyDescent="0.2">
      <c r="J12" s="66"/>
    </row>
    <row r="13" spans="1:11" x14ac:dyDescent="0.2">
      <c r="J13" s="66"/>
    </row>
    <row r="14" spans="1:11" x14ac:dyDescent="0.2">
      <c r="J14" s="66"/>
    </row>
    <row r="15" spans="1:11" x14ac:dyDescent="0.2">
      <c r="J15" s="66"/>
    </row>
    <row r="16" spans="1:11" x14ac:dyDescent="0.2">
      <c r="J16" s="66"/>
    </row>
    <row r="17" spans="10:10" x14ac:dyDescent="0.2">
      <c r="J17" s="66"/>
    </row>
  </sheetData>
  <mergeCells count="7">
    <mergeCell ref="B5:D5"/>
    <mergeCell ref="B1:D1"/>
    <mergeCell ref="F1:H1"/>
    <mergeCell ref="B2:D2"/>
    <mergeCell ref="F2:H2"/>
    <mergeCell ref="B3:D3"/>
    <mergeCell ref="B4:D4"/>
  </mergeCells>
  <dataValidations count="1">
    <dataValidation type="list" allowBlank="1" showInputMessage="1" showErrorMessage="1" sqref="B7" xr:uid="{B4E1A876-65B0-AC43-9A2C-A843583409C4}">
      <formula1>"Service,Area"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2F10-58E6-AC4E-90D3-2071F298D810}">
  <dimension ref="A1:O18"/>
  <sheetViews>
    <sheetView workbookViewId="0">
      <selection activeCell="L16" sqref="L16"/>
    </sheetView>
  </sheetViews>
  <sheetFormatPr baseColWidth="10" defaultRowHeight="16" x14ac:dyDescent="0.2"/>
  <cols>
    <col min="10" max="10" width="18" bestFit="1" customWidth="1"/>
  </cols>
  <sheetData>
    <row r="1" spans="1:15" x14ac:dyDescent="0.2">
      <c r="A1" s="65" t="s">
        <v>70</v>
      </c>
      <c r="B1" s="65" t="s">
        <v>13</v>
      </c>
      <c r="C1" s="34" t="s">
        <v>14</v>
      </c>
      <c r="D1" s="54"/>
      <c r="E1" s="55"/>
      <c r="F1" s="34" t="s">
        <v>20</v>
      </c>
      <c r="G1" s="35"/>
      <c r="I1" s="65" t="s">
        <v>13</v>
      </c>
      <c r="J1" s="65" t="s">
        <v>70</v>
      </c>
      <c r="K1" s="34" t="s">
        <v>14</v>
      </c>
      <c r="L1" s="54"/>
      <c r="M1" s="55"/>
      <c r="N1" s="34" t="s">
        <v>20</v>
      </c>
      <c r="O1" s="35"/>
    </row>
    <row r="2" spans="1:15" x14ac:dyDescent="0.2">
      <c r="A2" s="65"/>
      <c r="B2" s="65"/>
      <c r="C2" s="4" t="s">
        <v>37</v>
      </c>
      <c r="D2" s="5" t="s">
        <v>15</v>
      </c>
      <c r="E2" s="6" t="s">
        <v>16</v>
      </c>
      <c r="F2" s="6" t="s">
        <v>2</v>
      </c>
      <c r="G2" s="4" t="s">
        <v>1</v>
      </c>
      <c r="I2" s="65"/>
      <c r="J2" s="65"/>
      <c r="K2" s="4" t="s">
        <v>37</v>
      </c>
      <c r="L2" s="5" t="s">
        <v>15</v>
      </c>
      <c r="M2" s="6" t="s">
        <v>16</v>
      </c>
      <c r="N2" s="6" t="s">
        <v>2</v>
      </c>
      <c r="O2" s="4" t="s">
        <v>1</v>
      </c>
    </row>
    <row r="3" spans="1:15" x14ac:dyDescent="0.2">
      <c r="A3" s="65" t="s">
        <v>71</v>
      </c>
      <c r="B3" s="9"/>
      <c r="F3" s="11"/>
      <c r="G3" s="9"/>
      <c r="I3" s="65"/>
      <c r="J3" t="s">
        <v>71</v>
      </c>
      <c r="N3" s="11"/>
      <c r="O3" s="9"/>
    </row>
    <row r="4" spans="1:15" x14ac:dyDescent="0.2">
      <c r="A4" s="65"/>
      <c r="B4" s="9"/>
      <c r="F4" s="11"/>
      <c r="G4" s="13"/>
      <c r="I4" s="65"/>
      <c r="J4" t="s">
        <v>74</v>
      </c>
      <c r="N4" s="11"/>
      <c r="O4" s="13"/>
    </row>
    <row r="5" spans="1:15" x14ac:dyDescent="0.2">
      <c r="A5" s="65"/>
      <c r="B5" s="9"/>
      <c r="F5" s="11"/>
      <c r="G5" s="9"/>
      <c r="I5" s="65"/>
      <c r="J5" t="s">
        <v>75</v>
      </c>
      <c r="N5" s="11"/>
      <c r="O5" s="9"/>
    </row>
    <row r="6" spans="1:15" x14ac:dyDescent="0.2">
      <c r="A6" s="65"/>
      <c r="B6" s="9"/>
      <c r="F6" s="11"/>
      <c r="G6" s="9"/>
      <c r="I6" s="65"/>
      <c r="J6" t="s">
        <v>71</v>
      </c>
      <c r="N6" s="11"/>
      <c r="O6" s="9"/>
    </row>
    <row r="7" spans="1:15" x14ac:dyDescent="0.2">
      <c r="A7" s="65"/>
      <c r="B7" s="9"/>
      <c r="F7" s="11"/>
      <c r="G7" s="9"/>
      <c r="I7" s="65"/>
      <c r="J7" t="s">
        <v>74</v>
      </c>
      <c r="N7" s="11"/>
      <c r="O7" s="9"/>
    </row>
    <row r="8" spans="1:15" x14ac:dyDescent="0.2">
      <c r="A8" s="65"/>
      <c r="B8" s="9"/>
      <c r="F8" s="11"/>
      <c r="G8" s="9"/>
      <c r="I8" s="65"/>
      <c r="J8" t="s">
        <v>75</v>
      </c>
      <c r="N8" s="11"/>
      <c r="O8" s="9"/>
    </row>
    <row r="9" spans="1:15" x14ac:dyDescent="0.2">
      <c r="A9" s="65" t="s">
        <v>72</v>
      </c>
      <c r="B9" s="9"/>
      <c r="F9" s="11"/>
      <c r="G9" s="9"/>
      <c r="I9" s="65"/>
      <c r="J9" t="s">
        <v>71</v>
      </c>
      <c r="N9" s="11"/>
      <c r="O9" s="9"/>
    </row>
    <row r="10" spans="1:15" x14ac:dyDescent="0.2">
      <c r="A10" s="65"/>
      <c r="B10" s="9"/>
      <c r="F10" s="11"/>
      <c r="G10" s="9"/>
      <c r="I10" s="65"/>
      <c r="J10" t="s">
        <v>74</v>
      </c>
      <c r="N10" s="11"/>
      <c r="O10" s="9"/>
    </row>
    <row r="11" spans="1:15" x14ac:dyDescent="0.2">
      <c r="A11" s="65"/>
      <c r="B11" s="9"/>
      <c r="F11" s="11"/>
      <c r="G11" s="9"/>
      <c r="I11" s="65"/>
      <c r="J11" t="s">
        <v>75</v>
      </c>
      <c r="N11" s="11"/>
      <c r="O11" s="9"/>
    </row>
    <row r="12" spans="1:15" x14ac:dyDescent="0.2">
      <c r="A12" s="65"/>
      <c r="B12" s="9"/>
      <c r="F12" s="11"/>
      <c r="G12" s="9"/>
      <c r="I12" s="65"/>
      <c r="J12" t="s">
        <v>71</v>
      </c>
      <c r="N12" s="11"/>
      <c r="O12" s="9"/>
    </row>
    <row r="13" spans="1:15" x14ac:dyDescent="0.2">
      <c r="A13" s="65"/>
      <c r="B13" s="9"/>
      <c r="F13" s="11"/>
      <c r="G13" s="9"/>
      <c r="I13" s="65"/>
      <c r="J13" t="s">
        <v>74</v>
      </c>
      <c r="N13" s="11"/>
      <c r="O13" s="9"/>
    </row>
    <row r="14" spans="1:15" x14ac:dyDescent="0.2">
      <c r="A14" s="65" t="s">
        <v>73</v>
      </c>
      <c r="B14" s="9"/>
      <c r="F14" s="11"/>
      <c r="G14" s="9"/>
      <c r="I14" s="65"/>
      <c r="J14" t="s">
        <v>75</v>
      </c>
      <c r="N14" s="11"/>
      <c r="O14" s="9"/>
    </row>
    <row r="15" spans="1:15" x14ac:dyDescent="0.2">
      <c r="A15" s="65"/>
      <c r="B15" s="9"/>
      <c r="F15" s="11"/>
      <c r="G15" s="9"/>
      <c r="I15" s="65"/>
      <c r="J15" t="s">
        <v>71</v>
      </c>
      <c r="N15" s="11"/>
      <c r="O15" s="9"/>
    </row>
    <row r="16" spans="1:15" x14ac:dyDescent="0.2">
      <c r="A16" s="65"/>
      <c r="B16" s="9"/>
      <c r="F16" s="11"/>
      <c r="G16" s="9"/>
      <c r="I16" s="65"/>
      <c r="J16" t="s">
        <v>74</v>
      </c>
      <c r="N16" s="11"/>
      <c r="O16" s="9"/>
    </row>
    <row r="17" spans="1:15" x14ac:dyDescent="0.2">
      <c r="A17" s="65"/>
      <c r="B17" s="9"/>
      <c r="F17" s="11"/>
      <c r="G17" s="9"/>
      <c r="I17" s="65"/>
      <c r="J17" t="s">
        <v>75</v>
      </c>
      <c r="N17" s="11"/>
      <c r="O17" s="9"/>
    </row>
    <row r="18" spans="1:15" x14ac:dyDescent="0.2">
      <c r="A18" s="65"/>
      <c r="B18" s="9"/>
      <c r="I18" s="67"/>
    </row>
  </sheetData>
  <mergeCells count="16">
    <mergeCell ref="I3:I5"/>
    <mergeCell ref="I6:I8"/>
    <mergeCell ref="I9:I11"/>
    <mergeCell ref="I12:I14"/>
    <mergeCell ref="I15:I17"/>
    <mergeCell ref="I1:I2"/>
    <mergeCell ref="J1:J2"/>
    <mergeCell ref="K1:M1"/>
    <mergeCell ref="N1:O1"/>
    <mergeCell ref="A14:A18"/>
    <mergeCell ref="F1:G1"/>
    <mergeCell ref="A3:A8"/>
    <mergeCell ref="A9:A13"/>
    <mergeCell ref="C1:E1"/>
    <mergeCell ref="A1:A2"/>
    <mergeCell ref="B1:B2"/>
  </mergeCells>
  <dataValidations count="1">
    <dataValidation type="list" allowBlank="1" showInputMessage="1" showErrorMessage="1" sqref="B3:B18 I3 I6 I9 I12 I18 I15" xr:uid="{2B2BF34F-0534-4244-B09C-F1B2CAAECFDF}">
      <formula1>Options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0B2D1-844D-5441-A204-821F16DB4F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customer </vt:lpstr>
      <vt:lpstr>dropdowns</vt:lpstr>
      <vt:lpstr>python</vt:lpstr>
      <vt:lpstr>Sheet2</vt:lpstr>
      <vt:lpstr>Sheet3</vt:lpstr>
      <vt:lpstr>Area</vt:lpstr>
      <vt:lpstr>Baseboard</vt:lpstr>
      <vt:lpstr>Ceiling</vt:lpstr>
      <vt:lpstr>Depth</vt:lpstr>
      <vt:lpstr>Entry</vt:lpstr>
      <vt:lpstr>Finish</vt:lpstr>
      <vt:lpstr>Height</vt:lpstr>
      <vt:lpstr>Items</vt:lpstr>
      <vt:lpstr>Name</vt:lpstr>
      <vt:lpstr>Options</vt:lpstr>
      <vt:lpstr>Primer</vt:lpstr>
      <vt:lpstr>ServiceTable</vt:lpstr>
      <vt:lpstr>Tax</vt:lpstr>
      <vt:lpstr>Type</vt:lpstr>
      <vt:lpstr>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Qiduo He</dc:creator>
  <cp:lastModifiedBy>Kiara Burcher</cp:lastModifiedBy>
  <cp:lastPrinted>2025-10-20T00:34:33Z</cp:lastPrinted>
  <dcterms:created xsi:type="dcterms:W3CDTF">2025-10-19T21:02:31Z</dcterms:created>
  <dcterms:modified xsi:type="dcterms:W3CDTF">2025-11-01T19:23:41Z</dcterms:modified>
</cp:coreProperties>
</file>