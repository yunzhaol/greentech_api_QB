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fileSharing readOnlyRecommended="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elia/Desktop/Customer sheet/"/>
    </mc:Choice>
  </mc:AlternateContent>
  <xr:revisionPtr revIDLastSave="0" documentId="8_{4BA51D01-1A90-D542-9AD6-5E7D336D6EE1}" xr6:coauthVersionLast="47" xr6:coauthVersionMax="47" xr10:uidLastSave="{00000000-0000-0000-0000-000000000000}"/>
  <bookViews>
    <workbookView xWindow="-20" yWindow="520" windowWidth="28800" windowHeight="16800" xr2:uid="{9322F552-2F38-1440-BF75-B819B8DC134A}"/>
  </bookViews>
  <sheets>
    <sheet name="customer" sheetId="12" r:id="rId1"/>
    <sheet name="List" sheetId="14" r:id="rId2"/>
  </sheets>
  <externalReferences>
    <externalReference r:id="rId3"/>
  </externalReferences>
  <definedNames>
    <definedName name="Ceiling">List!$E$2:$E$4</definedName>
    <definedName name="door">List!$A$2:$A$10</definedName>
    <definedName name="Finish">List!$G$4</definedName>
    <definedName name="Finishpainting">List!$G$2:$G$22</definedName>
    <definedName name="Primer">List!$I$2:$I$6</definedName>
    <definedName name="Roomlist">List!$C$2:$C$25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" i="14" l="1"/>
  <c r="C21" i="14"/>
  <c r="C24" i="14"/>
  <c r="C25" i="14"/>
  <c r="I3" i="14"/>
  <c r="I4" i="14"/>
  <c r="I5" i="14"/>
  <c r="I6" i="14"/>
  <c r="I2" i="14"/>
  <c r="G3" i="14"/>
  <c r="G4" i="14"/>
  <c r="G5" i="14"/>
  <c r="G6" i="14"/>
  <c r="G7" i="14"/>
  <c r="G8" i="14"/>
  <c r="G9" i="14"/>
  <c r="G10" i="14"/>
  <c r="G11" i="14"/>
  <c r="G12" i="14"/>
  <c r="G13" i="14"/>
  <c r="G14" i="14"/>
  <c r="G15" i="14"/>
  <c r="G16" i="14"/>
  <c r="G17" i="14"/>
  <c r="G18" i="14"/>
  <c r="G19" i="14"/>
  <c r="G20" i="14"/>
  <c r="G21" i="14"/>
  <c r="G22" i="14"/>
  <c r="G2" i="14"/>
  <c r="E2" i="14"/>
  <c r="E3" i="14"/>
  <c r="E4" i="14"/>
  <c r="A3" i="14"/>
  <c r="A4" i="14"/>
  <c r="A5" i="14"/>
  <c r="A6" i="14"/>
  <c r="A7" i="14"/>
  <c r="A8" i="14"/>
  <c r="A9" i="14"/>
  <c r="A2" i="14"/>
  <c r="C3" i="14"/>
  <c r="C4" i="14"/>
  <c r="C5" i="14"/>
  <c r="C6" i="14"/>
  <c r="C7" i="14"/>
  <c r="C8" i="14"/>
  <c r="C9" i="14"/>
  <c r="C10" i="14"/>
  <c r="C11" i="14"/>
  <c r="C12" i="14"/>
  <c r="C13" i="14"/>
  <c r="C14" i="14"/>
  <c r="C15" i="14"/>
  <c r="C16" i="14"/>
  <c r="C17" i="14"/>
  <c r="C18" i="14"/>
  <c r="C19" i="14"/>
  <c r="C20" i="14"/>
  <c r="C22" i="14"/>
  <c r="C23" i="14"/>
  <c r="C2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20BF54B-905E-3543-AC94-F815238AB421}" keepAlive="1" interval="30" name="Query - Paint Unified" description="Connection to the 'Paint Unified' query in the workbook." type="5" refreshedVersion="8" background="1" refreshOnLoad="1" saveData="1">
    <dbPr connection="Provider=Microsoft.Mashup.OleDb.1;Data Source=$Workbook$;Location=&quot;Paint Unified&quot;;Extended Properties=&quot;&quot;" command="SELECT * FROM [Paint Unified]"/>
  </connection>
  <connection id="2" xr16:uid="{A22E4AAC-41C0-0A44-BA03-7F5FB5A32C68}" keepAlive="1" name="Query - Paint_Prices" description="Connection to the 'Paint_Prices' query in the workbook." type="5" refreshedVersion="8" background="1" saveData="1">
    <dbPr connection="Provider=Microsoft.Mashup.OleDb.1;Data Source=$Workbook$;Location=Paint_Prices;Extended Properties=&quot;&quot;" command="SELECT * FROM [Paint_Prices]"/>
  </connection>
  <connection id="3" xr16:uid="{4CCA6D3D-CB10-6544-A558-7E96951A1609}" keepAlive="1" name="Query - Rates_Master_Paint" description="Connection to the 'Rates_Master_Paint' query in the workbook." type="5" refreshedVersion="0" background="1">
    <dbPr connection="Provider=Microsoft.Mashup.OleDb.1;Data Source=$Workbook$;Location=Rates_Master_Paint;Extended Properties=&quot;&quot;" command="SELECT * FROM [Rates_Master_Paint]"/>
  </connection>
  <connection id="4" xr16:uid="{D809E43B-DFE1-1346-BF0E-E3ADF8944350}" keepAlive="1" name="Query - Room list" description="Connection to the 'Room list' query in the workbook." type="5" refreshedVersion="8" background="1" saveData="1">
    <dbPr connection="Provider=Microsoft.Mashup.OleDb.1;Data Source=$Workbook$;Location=&quot;Room list&quot;;Extended Properties=&quot;&quot;" command="SELECT * FROM [Room list]"/>
  </connection>
  <connection id="5" xr16:uid="{DA1A7248-2A7E-424F-BDE5-00CE8399F11D}" keepAlive="1" name="Query - Table_Paint_Unified" description="Connection to the 'Table_Paint_Unified' query in the workbook." type="5" refreshedVersion="8" background="1" saveData="1">
    <dbPr connection="Provider=Microsoft.Mashup.OleDb.1;Data Source=$Workbook$;Location=Table_Paint_Unified;Extended Properties=&quot;&quot;" command="SELECT * FROM [Table_Paint_Unified]"/>
  </connection>
  <connection id="6" xr16:uid="{F5404BB1-24CB-D64F-B2C8-05E5BDEE9A9B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<sst xmlns="http://schemas.openxmlformats.org/spreadsheetml/2006/main" count="100" uniqueCount="61">
  <si>
    <t>coats</t>
  </si>
  <si>
    <t>Ceiling</t>
  </si>
  <si>
    <t>Finish</t>
  </si>
  <si>
    <t>Primer</t>
  </si>
  <si>
    <t>Baseboard</t>
  </si>
  <si>
    <t>Crownmolding</t>
  </si>
  <si>
    <t>Name:</t>
  </si>
  <si>
    <t>Address:</t>
  </si>
  <si>
    <t>Phone:</t>
  </si>
  <si>
    <t>email:</t>
  </si>
  <si>
    <t>Date:</t>
  </si>
  <si>
    <t>Area</t>
  </si>
  <si>
    <t>With (Ft)</t>
  </si>
  <si>
    <t>Depth (Ft)</t>
  </si>
  <si>
    <t>Height (ft)</t>
  </si>
  <si>
    <t>Doors</t>
  </si>
  <si>
    <t>Ft</t>
  </si>
  <si>
    <t>Number</t>
  </si>
  <si>
    <t>Tax:</t>
  </si>
  <si>
    <t>No</t>
  </si>
  <si>
    <t>Yes</t>
  </si>
  <si>
    <t>Closet</t>
  </si>
  <si>
    <t>Bedroom</t>
  </si>
  <si>
    <t>Quote number:</t>
  </si>
  <si>
    <t>GREENTECH PAINTING INC</t>
  </si>
  <si>
    <t>1243 Royal York Rd</t>
  </si>
  <si>
    <t>London ON  N6H 4A1</t>
  </si>
  <si>
    <t>customerservice@greentechpainting.com</t>
  </si>
  <si>
    <t>www.greentechpainting.com</t>
  </si>
  <si>
    <t>ESTIMATE</t>
  </si>
  <si>
    <t>Project Type</t>
  </si>
  <si>
    <t>Coat</t>
  </si>
  <si>
    <t>Together, let’s make a positive impact on the world, one paint job at a time.</t>
  </si>
  <si>
    <t>Internal Painting</t>
  </si>
  <si>
    <t>Service</t>
  </si>
  <si>
    <t>Standard</t>
  </si>
  <si>
    <t xml:space="preserve">Ceiling </t>
  </si>
  <si>
    <t>Material</t>
  </si>
  <si>
    <t>Tax Type</t>
  </si>
  <si>
    <t>Type door</t>
  </si>
  <si>
    <t>Single standard wood door</t>
  </si>
  <si>
    <t>Rooms list</t>
  </si>
  <si>
    <t>Mechanical room</t>
  </si>
  <si>
    <t>TV room</t>
  </si>
  <si>
    <t>Waterborne Ceiling Paint White</t>
  </si>
  <si>
    <t>Aura Bath &amp; Spa Matte Base 1</t>
  </si>
  <si>
    <t>PM200 HP 0 EG EW  Pro Mar 200 HP</t>
  </si>
  <si>
    <t>SPR INT SA AIR EW SuperPaint Air</t>
  </si>
  <si>
    <t>PM 200 0 PRIMER Zero VOC Primer</t>
  </si>
  <si>
    <t xml:space="preserve">Step One Primer - White </t>
  </si>
  <si>
    <t>Primer Material</t>
  </si>
  <si>
    <t>Finish Material</t>
  </si>
  <si>
    <t>Area dimension and Materials</t>
  </si>
  <si>
    <t>EMERALD IN FL EXTR Emerald interior</t>
  </si>
  <si>
    <t xml:space="preserve">Waterborne Ceiling Paint White </t>
  </si>
  <si>
    <t>Master bedroom</t>
  </si>
  <si>
    <t xml:space="preserve">Entrance </t>
  </si>
  <si>
    <t>Type</t>
  </si>
  <si>
    <t>Qty</t>
  </si>
  <si>
    <t>One and a half tall wood door</t>
  </si>
  <si>
    <t>Hallway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</si>
</sst>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6"/>
      <color rgb="FF000000"/>
      <name val="Calibri"/>
      <family val="2"/>
    </font>
    <font>
      <u/>
      <sz val="12"/>
      <color theme="10"/>
      <name val="Aptos Narrow"/>
      <family val="2"/>
      <scheme val="minor"/>
    </font>
    <font>
      <sz val="72"/>
      <color rgb="FF000000"/>
      <name val="Calibri"/>
      <family val="2"/>
    </font>
    <font>
      <sz val="48"/>
      <color theme="4" tint="-0.249977111117893"/>
      <name val="Calibri"/>
      <family val="2"/>
    </font>
    <font>
      <sz val="16"/>
      <color rgb="FF000000"/>
      <name val="Calibri"/>
      <family val="2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rgb="FFE2EFDA"/>
        <bgColor rgb="FF000000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1">
    <xf numFmtId="0" fontId="0" fillId="0" borderId="0" xfId="0"/>
    <xf numFmtId="0" fontId="2" fillId="2" borderId="0" xfId="0" applyFont="1" applyFill="1"/>
    <xf numFmtId="0" fontId="1" fillId="2" borderId="0" xfId="0" applyFont="1" applyFill="1"/>
    <xf numFmtId="0" fontId="2" fillId="2" borderId="1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9" fontId="1" fillId="2" borderId="0" xfId="0" applyNumberFormat="1" applyFont="1" applyFill="1"/>
    <xf numFmtId="9" fontId="2" fillId="2" borderId="0" xfId="0" applyNumberFormat="1" applyFont="1" applyFill="1"/>
    <xf numFmtId="0" fontId="2" fillId="2" borderId="2" xfId="0" applyFont="1" applyFill="1" applyBorder="1" applyAlignment="1">
      <alignment horizontal="centerContinuous"/>
    </xf>
    <xf numFmtId="0" fontId="2" fillId="2" borderId="7" xfId="0" applyFont="1" applyFill="1" applyBorder="1" applyAlignment="1">
      <alignment horizontal="centerContinuous"/>
    </xf>
    <xf numFmtId="0" fontId="3" fillId="2" borderId="0" xfId="0" applyFont="1" applyFill="1" applyAlignment="1">
      <alignment horizontal="centerContinuous"/>
    </xf>
    <xf numFmtId="0" fontId="1" fillId="2" borderId="0" xfId="0" applyFont="1" applyFill="1" applyAlignment="1">
      <alignment horizontal="centerContinuous"/>
    </xf>
    <xf numFmtId="0" fontId="1" fillId="2" borderId="0" xfId="0" applyFont="1" applyFill="1" applyAlignment="1">
      <alignment horizontal="centerContinuous" vertical="center"/>
    </xf>
    <xf numFmtId="0" fontId="4" fillId="2" borderId="0" xfId="0" applyFont="1" applyFill="1" applyAlignment="1">
      <alignment horizontal="centerContinuous" vertical="center"/>
    </xf>
    <xf numFmtId="9" fontId="1" fillId="2" borderId="0" xfId="0" applyNumberFormat="1" applyFont="1" applyFill="1" applyAlignment="1">
      <alignment horizontal="centerContinuous"/>
    </xf>
    <xf numFmtId="9" fontId="5" fillId="2" borderId="0" xfId="1" applyNumberFormat="1" applyFill="1" applyAlignment="1">
      <alignment horizontal="centerContinuous"/>
    </xf>
    <xf numFmtId="0" fontId="5" fillId="2" borderId="0" xfId="1" applyFill="1" applyAlignment="1">
      <alignment horizontal="centerContinuous"/>
    </xf>
    <xf numFmtId="0" fontId="6" fillId="2" borderId="0" xfId="0" applyFont="1" applyFill="1"/>
    <xf numFmtId="0" fontId="7" fillId="2" borderId="0" xfId="0" applyFont="1" applyFill="1"/>
    <xf numFmtId="0" fontId="8" fillId="3" borderId="2" xfId="0" applyFont="1" applyFill="1" applyBorder="1" applyAlignment="1">
      <alignment horizontal="centerContinuous"/>
    </xf>
    <xf numFmtId="0" fontId="8" fillId="3" borderId="7" xfId="0" applyFont="1" applyFill="1" applyBorder="1" applyAlignment="1">
      <alignment horizontal="centerContinuous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4" fillId="2" borderId="1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Continuous"/>
    </xf>
    <xf numFmtId="0" fontId="3" fillId="2" borderId="3" xfId="0" applyFont="1" applyFill="1" applyBorder="1" applyAlignment="1">
      <alignment horizontal="center" wrapText="1"/>
    </xf>
    <xf numFmtId="0" fontId="1" fillId="3" borderId="6" xfId="0" applyFont="1" applyFill="1" applyBorder="1" applyAlignment="1">
      <alignment horizontal="left"/>
    </xf>
    <xf numFmtId="0" fontId="1" fillId="2" borderId="0" xfId="0" applyFont="1" applyFill="1" applyAlignment="1">
      <alignment horizontal="centerContinuous" vertical="top"/>
    </xf>
    <xf numFmtId="0" fontId="10" fillId="2" borderId="0" xfId="0" applyFont="1" applyFill="1" applyAlignment="1">
      <alignment horizontal="centerContinuous" vertical="center"/>
    </xf>
    <xf numFmtId="0" fontId="2" fillId="2" borderId="0" xfId="0" applyFont="1" applyFill="1" applyAlignment="1">
      <alignment horizontal="centerContinuous"/>
    </xf>
    <xf numFmtId="0" fontId="9" fillId="2" borderId="10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Continuous"/>
    </xf>
    <xf numFmtId="0" fontId="2" fillId="2" borderId="8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8" fillId="2" borderId="6" xfId="0" applyFont="1" applyFill="1" applyBorder="1" applyAlignment="1" applyProtection="1">
      <alignment horizontal="centerContinuous"/>
      <protection locked="0"/>
    </xf>
    <xf numFmtId="0" fontId="2" fillId="3" borderId="16" xfId="0" applyFont="1" applyFill="1" applyBorder="1" applyAlignment="1" applyProtection="1">
      <alignment horizontal="left"/>
      <protection locked="0"/>
    </xf>
    <xf numFmtId="0" fontId="2" fillId="3" borderId="17" xfId="0" applyFont="1" applyFill="1" applyBorder="1" applyAlignment="1" applyProtection="1">
      <alignment horizontal="left"/>
      <protection locked="0"/>
    </xf>
    <xf numFmtId="0" fontId="2" fillId="3" borderId="19" xfId="0" applyFont="1" applyFill="1" applyBorder="1" applyAlignment="1" applyProtection="1">
      <alignment horizontal="left"/>
      <protection locked="0"/>
    </xf>
    <xf numFmtId="0" fontId="2" fillId="2" borderId="16" xfId="0" applyFont="1" applyFill="1" applyBorder="1" applyAlignment="1" applyProtection="1">
      <alignment horizontal="center"/>
      <protection locked="0"/>
    </xf>
    <xf numFmtId="0" fontId="2" fillId="2" borderId="17" xfId="0" applyFont="1" applyFill="1" applyBorder="1" applyAlignment="1" applyProtection="1">
      <alignment horizontal="center"/>
      <protection locked="0"/>
    </xf>
    <xf numFmtId="0" fontId="2" fillId="2" borderId="19" xfId="0" applyFont="1" applyFill="1" applyBorder="1" applyAlignment="1" applyProtection="1">
      <alignment horizontal="center"/>
      <protection locked="0"/>
    </xf>
    <xf numFmtId="0" fontId="2" fillId="3" borderId="13" xfId="0" applyFont="1" applyFill="1" applyBorder="1" applyAlignment="1" applyProtection="1">
      <alignment horizontal="left"/>
      <protection locked="0"/>
    </xf>
    <xf numFmtId="0" fontId="2" fillId="2" borderId="9" xfId="0" applyFont="1" applyFill="1" applyBorder="1" applyAlignment="1" applyProtection="1">
      <alignment horizontal="center"/>
      <protection locked="0"/>
    </xf>
    <xf numFmtId="0" fontId="2" fillId="2" borderId="18" xfId="0" applyFont="1" applyFill="1" applyBorder="1" applyAlignment="1" applyProtection="1">
      <alignment horizontal="center"/>
      <protection locked="0"/>
    </xf>
    <xf numFmtId="0" fontId="2" fillId="2" borderId="20" xfId="0" applyFont="1" applyFill="1" applyBorder="1" applyAlignment="1" applyProtection="1">
      <alignment horizontal="center"/>
      <protection locked="0"/>
    </xf>
    <xf numFmtId="0" fontId="0" fillId="0" borderId="0" xfId="0" applyAlignment="1">
      <alignment horizontal="right"/>
    </xf>
    <xf numFmtId="0" fontId="2" fillId="2" borderId="15" xfId="0" applyFont="1" applyFill="1" applyBorder="1" applyAlignment="1" applyProtection="1">
      <alignment horizontal="center"/>
      <protection locked="0"/>
    </xf>
    <xf numFmtId="0" fontId="2" fillId="2" borderId="8" xfId="0" applyFont="1" applyFill="1" applyBorder="1" applyAlignment="1">
      <alignment horizontal="centerContinuous"/>
    </xf>
    <xf numFmtId="0" fontId="2" fillId="2" borderId="3" xfId="0" applyFont="1" applyFill="1" applyBorder="1" applyAlignment="1">
      <alignment horizontal="centerContinuous"/>
    </xf>
    <xf numFmtId="0" fontId="8" fillId="2" borderId="0" xfId="0" applyFont="1" applyFill="1" applyAlignment="1">
      <alignment horizontal="centerContinuous"/>
    </xf>
    <xf numFmtId="0" fontId="3" fillId="2" borderId="3" xfId="0" applyFont="1" applyFill="1" applyBorder="1" applyAlignment="1">
      <alignment horizontal="center" vertical="center"/>
    </xf>
    <xf numFmtId="0" fontId="2" fillId="3" borderId="15" xfId="0" applyFont="1" applyFill="1" applyBorder="1" applyAlignment="1" applyProtection="1">
      <alignment horizontal="left"/>
      <protection locked="0"/>
    </xf>
    <xf numFmtId="0" fontId="3" fillId="2" borderId="22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Continuous" vertical="center"/>
    </xf>
    <xf numFmtId="0" fontId="1" fillId="2" borderId="21" xfId="0" applyFont="1" applyFill="1" applyBorder="1"/>
    <xf numFmtId="0" fontId="1" fillId="2" borderId="7" xfId="0" applyFont="1" applyFill="1" applyBorder="1" applyAlignment="1" applyProtection="1">
      <alignment horizontal="centerContinuous"/>
      <protection locked="0"/>
    </xf>
    <xf numFmtId="9" fontId="8" fillId="2" borderId="6" xfId="0" applyNumberFormat="1" applyFont="1" applyFill="1" applyBorder="1" applyAlignment="1" applyProtection="1">
      <alignment horizontal="centerContinuous" vertical="center"/>
      <protection locked="0"/>
    </xf>
    <xf numFmtId="0" fontId="8" fillId="2" borderId="7" xfId="0" applyFont="1" applyFill="1" applyBorder="1" applyAlignment="1" applyProtection="1">
      <alignment horizontal="centerContinuous" vertical="center"/>
      <protection locked="0"/>
    </xf>
    <xf numFmtId="0" fontId="11" fillId="0" borderId="0" xfId="0" applyFont="1" applyAlignment="1">
      <alignment horizontal="center"/>
    </xf>
    <xf numFmtId="0" fontId="11" fillId="0" borderId="0" xfId="0" applyFont="1"/>
    <xf numFmtId="0" fontId="2" fillId="3" borderId="3" xfId="0" applyFont="1" applyFill="1" applyBorder="1" applyAlignment="1" applyProtection="1">
      <alignment horizontal="left"/>
      <protection locked="0"/>
    </xf>
    <xf numFmtId="0" fontId="1" fillId="3" borderId="3" xfId="0" applyFont="1" applyFill="1" applyBorder="1" applyAlignment="1" applyProtection="1">
      <alignment horizontal="left"/>
      <protection locked="0"/>
    </xf>
    <xf numFmtId="0" fontId="1" fillId="3" borderId="8" xfId="0" applyFont="1" applyFill="1" applyBorder="1" applyAlignment="1" applyProtection="1">
      <alignment horizontal="left"/>
      <protection locked="0"/>
    </xf>
    <xf numFmtId="0" fontId="1" fillId="2" borderId="23" xfId="0" applyFont="1" applyFill="1" applyBorder="1"/>
    <xf numFmtId="0" fontId="1" fillId="2" borderId="1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1" fillId="2" borderId="7" xfId="0" applyFont="1" applyFill="1" applyBorder="1" applyAlignment="1">
      <alignment horizontal="centerContinuous"/>
    </xf>
    <xf numFmtId="0" fontId="3" fillId="2" borderId="2" xfId="0" applyFont="1" applyFill="1" applyBorder="1" applyAlignment="1">
      <alignment horizontal="center"/>
    </xf>
    <xf numFmtId="0" fontId="2" fillId="2" borderId="23" xfId="0" applyFont="1" applyFill="1" applyBorder="1"/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/>
    </xf>
    <xf numFmtId="0" fontId="2" fillId="2" borderId="24" xfId="0" applyFont="1" applyFill="1" applyBorder="1" applyAlignment="1" applyProtection="1">
      <alignment horizontal="center"/>
      <protection locked="0"/>
    </xf>
    <xf numFmtId="0" fontId="3" fillId="2" borderId="8" xfId="0" applyFont="1" applyFill="1" applyBorder="1" applyAlignment="1">
      <alignment horizontal="center" vertical="center"/>
    </xf>
    <xf numFmtId="0" fontId="2" fillId="3" borderId="8" xfId="0" applyFont="1" applyFill="1" applyBorder="1" applyAlignment="1" applyProtection="1">
      <alignment horizontal="left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800100</xdr:colOff>
      <xdr:row>5827</xdr:row>
      <xdr:rowOff>12700</xdr:rowOff>
    </xdr:from>
    <xdr:to>
      <xdr:col>40</xdr:col>
      <xdr:colOff>36048</xdr:colOff>
      <xdr:row>5829</xdr:row>
      <xdr:rowOff>185502</xdr:rowOff>
    </xdr:to>
    <xdr:pic>
      <xdr:nvPicPr>
        <xdr:cNvPr id="5" name="Picture 4" descr="Image result for GREEN BUSINESS BUREAU PLATINUM SEAL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890959" y="0"/>
          <a:ext cx="886948" cy="5792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181</xdr:col>
      <xdr:colOff>431800</xdr:colOff>
      <xdr:row>5883</xdr:row>
      <xdr:rowOff>114300</xdr:rowOff>
    </xdr:from>
    <xdr:to>
      <xdr:col>182</xdr:col>
      <xdr:colOff>540870</xdr:colOff>
      <xdr:row>5885</xdr:row>
      <xdr:rowOff>77888</xdr:rowOff>
    </xdr:to>
    <xdr:pic>
      <xdr:nvPicPr>
        <xdr:cNvPr id="6" name="Picture 5" descr="Image result for BBB ACCREDITED BUSINESS SEAL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7243542" y="126351"/>
          <a:ext cx="934570" cy="3699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550244</xdr:colOff>
      <xdr:row>0</xdr:row>
      <xdr:rowOff>139060</xdr:rowOff>
    </xdr:from>
    <xdr:to>
      <xdr:col>19</xdr:col>
      <xdr:colOff>446</xdr:colOff>
      <xdr:row>9</xdr:row>
      <xdr:rowOff>412721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6A9D46-EE3B-B719-72EE-6CE83F594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39183" y="139060"/>
          <a:ext cx="4414301" cy="3929722"/>
        </a:xfrm>
        <a:prstGeom prst="rect">
          <a:avLst/>
        </a:prstGeom>
      </xdr:spPr>
    </xdr:pic>
    <xdr:clientData/>
  </xdr:twoCellAnchor>
  <xdr:twoCellAnchor>
    <xdr:from>
      <xdr:col>1</xdr:col>
      <xdr:colOff>993224</xdr:colOff>
      <xdr:row>0</xdr:row>
      <xdr:rowOff>0</xdr:rowOff>
    </xdr:from>
    <xdr:to>
      <xdr:col>12</xdr:col>
      <xdr:colOff>189706</xdr:colOff>
      <xdr:row>2</xdr:row>
      <xdr:rowOff>0</xdr:rowOff>
    </xdr:to>
    <xdr:grpSp>
      <xdr:nvGrpSpPr>
        <xdr:cNvPr id="15" name="4 Grupo">
          <a:extLst>
            <a:ext uri="{FF2B5EF4-FFF2-40B4-BE49-F238E27FC236}">
              <a16:creationId xmlns:a16="http://schemas.microsoft.com/office/drawing/2014/main" id="{CD34F76F-D020-9948-A9D2-CA37F377262F}"/>
            </a:ext>
          </a:extLst>
        </xdr:cNvPr>
        <xdr:cNvGrpSpPr/>
      </xdr:nvGrpSpPr>
      <xdr:grpSpPr>
        <a:xfrm>
          <a:off x="2104474" y="0"/>
          <a:ext cx="10785232" cy="1210469"/>
          <a:chOff x="247774" y="9318518"/>
          <a:chExt cx="3885412" cy="579202"/>
        </a:xfrm>
      </xdr:grpSpPr>
      <xdr:pic>
        <xdr:nvPicPr>
          <xdr:cNvPr id="16" name="Picture 2" descr="C:\Users\Yarinka\Documents\GreenTech Painting-new\Certificates\CaGBC.png">
            <a:extLst>
              <a:ext uri="{FF2B5EF4-FFF2-40B4-BE49-F238E27FC236}">
                <a16:creationId xmlns:a16="http://schemas.microsoft.com/office/drawing/2014/main" id="{7CA6D1CD-3AA0-F2EB-C7B8-8E36C4285E4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150055" y="9379081"/>
            <a:ext cx="473254" cy="45893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7" name="Picture 4" descr="Image result for GREEN BUSINESS BUREAU PLATINUM SEAL">
            <a:extLst>
              <a:ext uri="{FF2B5EF4-FFF2-40B4-BE49-F238E27FC236}">
                <a16:creationId xmlns:a16="http://schemas.microsoft.com/office/drawing/2014/main" id="{E0ECDE9D-C474-D07A-7F67-F3492A150806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 bwMode="auto">
          <a:xfrm>
            <a:off x="247774" y="9318518"/>
            <a:ext cx="886948" cy="57920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8" name="Picture 14" descr="Image result for BBB ACCREDITED BUSINESS SEAL">
            <a:extLst>
              <a:ext uri="{FF2B5EF4-FFF2-40B4-BE49-F238E27FC236}">
                <a16:creationId xmlns:a16="http://schemas.microsoft.com/office/drawing/2014/main" id="{FA9C54FA-43E5-C28D-ABA8-856CC234E63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 bwMode="auto">
          <a:xfrm>
            <a:off x="1169998" y="9408444"/>
            <a:ext cx="934570" cy="36998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9" name="Picture 29">
            <a:extLst>
              <a:ext uri="{FF2B5EF4-FFF2-40B4-BE49-F238E27FC236}">
                <a16:creationId xmlns:a16="http://schemas.microsoft.com/office/drawing/2014/main" id="{0C4C753C-B22B-C423-5F33-5AF3DAAF78B3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5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 bwMode="auto">
          <a:xfrm>
            <a:off x="2639805" y="9410326"/>
            <a:ext cx="627737" cy="35016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chemeClr val="accent1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chemeClr val="tx1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20" name="Picture 2">
            <a:extLst>
              <a:ext uri="{FF2B5EF4-FFF2-40B4-BE49-F238E27FC236}">
                <a16:creationId xmlns:a16="http://schemas.microsoft.com/office/drawing/2014/main" id="{82E85F9E-F45A-43F3-AA82-ED73CD62313E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 bwMode="auto">
          <a:xfrm>
            <a:off x="3307155" y="9400803"/>
            <a:ext cx="826031" cy="37554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chemeClr val="accent1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chemeClr val="tx1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0</xdr:col>
      <xdr:colOff>142688</xdr:colOff>
      <xdr:row>0</xdr:row>
      <xdr:rowOff>30238</xdr:rowOff>
    </xdr:from>
    <xdr:to>
      <xdr:col>1</xdr:col>
      <xdr:colOff>876905</xdr:colOff>
      <xdr:row>2</xdr:row>
      <xdr:rowOff>645394</xdr:rowOff>
    </xdr:to>
    <xdr:grpSp>
      <xdr:nvGrpSpPr>
        <xdr:cNvPr id="21" name="9 Grupo">
          <a:extLst>
            <a:ext uri="{FF2B5EF4-FFF2-40B4-BE49-F238E27FC236}">
              <a16:creationId xmlns:a16="http://schemas.microsoft.com/office/drawing/2014/main" id="{5AD835D2-34ED-F942-8859-0E583E409044}"/>
            </a:ext>
          </a:extLst>
        </xdr:cNvPr>
        <xdr:cNvGrpSpPr/>
      </xdr:nvGrpSpPr>
      <xdr:grpSpPr>
        <a:xfrm>
          <a:off x="142688" y="30238"/>
          <a:ext cx="1845467" cy="1825625"/>
          <a:chOff x="5209025" y="429686"/>
          <a:chExt cx="1329288" cy="1674998"/>
        </a:xfrm>
      </xdr:grpSpPr>
      <xdr:pic>
        <xdr:nvPicPr>
          <xdr:cNvPr id="22" name="1 Imagen">
            <a:extLst>
              <a:ext uri="{FF2B5EF4-FFF2-40B4-BE49-F238E27FC236}">
                <a16:creationId xmlns:a16="http://schemas.microsoft.com/office/drawing/2014/main" id="{BB726C60-34DB-1C3D-74E4-B0A41DC1FE70}"/>
              </a:ext>
            </a:extLst>
          </xdr:cNvPr>
          <xdr:cNvPicPr/>
        </xdr:nvPicPr>
        <xdr:blipFill rotWithShape="1">
          <a:blip xmlns:r="http://schemas.openxmlformats.org/officeDocument/2006/relationships" r:embed="rId7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r="-2"/>
          <a:stretch/>
        </xdr:blipFill>
        <xdr:spPr bwMode="auto">
          <a:xfrm>
            <a:off x="5209025" y="429686"/>
            <a:ext cx="1329288" cy="1374777"/>
          </a:xfrm>
          <a:prstGeom prst="rect">
            <a:avLst/>
          </a:prstGeom>
          <a:noFill/>
        </xdr:spPr>
      </xdr:pic>
      <xdr:pic>
        <xdr:nvPicPr>
          <xdr:cNvPr id="23" name="2 Imagen">
            <a:extLst>
              <a:ext uri="{FF2B5EF4-FFF2-40B4-BE49-F238E27FC236}">
                <a16:creationId xmlns:a16="http://schemas.microsoft.com/office/drawing/2014/main" id="{2E9890C4-821C-5D71-A82E-F0BFD144A866}"/>
              </a:ext>
            </a:extLst>
          </xdr:cNvPr>
          <xdr:cNvPicPr/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46924" y="1839254"/>
            <a:ext cx="1057275" cy="265430"/>
          </a:xfrm>
          <a:prstGeom prst="rect">
            <a:avLst/>
          </a:prstGeom>
          <a:noFill/>
          <a:ln>
            <a:noFill/>
          </a:ln>
        </xdr:spPr>
      </xdr:pic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belia/Desktop/Customer%20sheet/Price.xlsx" TargetMode="External"/><Relationship Id="rId1" Type="http://schemas.openxmlformats.org/officeDocument/2006/relationships/externalLinkPath" Target="Pri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ates_Master_Paint"/>
      <sheetName val="Room list"/>
      <sheetName val="Paint_Prices"/>
    </sheetNames>
    <sheetDataSet>
      <sheetData sheetId="0">
        <row r="2">
          <cell r="B2" t="str">
            <v>Single standard wood door</v>
          </cell>
        </row>
        <row r="3">
          <cell r="B3" t="str">
            <v>One and a half wood door</v>
          </cell>
        </row>
        <row r="4">
          <cell r="B4" t="str">
            <v>Bi-fold wood door</v>
          </cell>
        </row>
        <row r="5">
          <cell r="B5" t="str">
            <v>Single tall wood door</v>
          </cell>
        </row>
        <row r="6">
          <cell r="B6" t="str">
            <v>One and a half tall wood door</v>
          </cell>
        </row>
        <row r="7">
          <cell r="B7" t="str">
            <v>Bi-fold tall  wood door</v>
          </cell>
        </row>
        <row r="8">
          <cell r="B8" t="str">
            <v>Single Metal man door</v>
          </cell>
        </row>
        <row r="9">
          <cell r="B9" t="str">
            <v>One and a half Metal man door</v>
          </cell>
        </row>
        <row r="10">
          <cell r="B10" t="str">
            <v>Bi-fold Metal man door</v>
          </cell>
        </row>
      </sheetData>
      <sheetData sheetId="1">
        <row r="2">
          <cell r="A2" t="str">
            <v>Basement</v>
          </cell>
        </row>
        <row r="3">
          <cell r="A3" t="str">
            <v>Bathroom</v>
          </cell>
        </row>
        <row r="4">
          <cell r="A4" t="str">
            <v>Bedroom</v>
          </cell>
        </row>
        <row r="5">
          <cell r="A5" t="str">
            <v>Closet</v>
          </cell>
        </row>
        <row r="6">
          <cell r="A6" t="str">
            <v>Dinning room</v>
          </cell>
        </row>
        <row r="7">
          <cell r="A7" t="str">
            <v xml:space="preserve">Entrance </v>
          </cell>
        </row>
        <row r="8">
          <cell r="A8" t="str">
            <v>Foyer</v>
          </cell>
        </row>
        <row r="9">
          <cell r="A9" t="str">
            <v>Garage</v>
          </cell>
        </row>
        <row r="10">
          <cell r="A10" t="str">
            <v>Half-Bath</v>
          </cell>
        </row>
        <row r="11">
          <cell r="A11" t="str">
            <v>Hallway</v>
          </cell>
        </row>
        <row r="12">
          <cell r="A12" t="str">
            <v>Home Office</v>
          </cell>
        </row>
        <row r="13">
          <cell r="A13" t="str">
            <v>Kitchen</v>
          </cell>
        </row>
        <row r="14">
          <cell r="A14" t="str">
            <v>Laundry room</v>
          </cell>
        </row>
        <row r="15">
          <cell r="A15" t="str">
            <v>Library</v>
          </cell>
        </row>
        <row r="16">
          <cell r="A16" t="str">
            <v>Living room</v>
          </cell>
        </row>
        <row r="17">
          <cell r="A17" t="str">
            <v>Master bedroom</v>
          </cell>
        </row>
        <row r="18">
          <cell r="A18" t="str">
            <v>Mechanical room</v>
          </cell>
        </row>
        <row r="19">
          <cell r="A19" t="str">
            <v>Room 1</v>
          </cell>
        </row>
        <row r="20">
          <cell r="A20" t="str">
            <v>Room 2</v>
          </cell>
        </row>
        <row r="21">
          <cell r="A21" t="str">
            <v>Stairwell</v>
          </cell>
        </row>
        <row r="22">
          <cell r="A22" t="str">
            <v>Storage room</v>
          </cell>
        </row>
        <row r="23">
          <cell r="A23" t="str">
            <v>Sunroom</v>
          </cell>
        </row>
        <row r="24">
          <cell r="A24" t="str">
            <v>TV room</v>
          </cell>
        </row>
        <row r="25">
          <cell r="A25" t="str">
            <v>Walk-in Closet</v>
          </cell>
        </row>
      </sheetData>
      <sheetData sheetId="2">
        <row r="2">
          <cell r="C2" t="str">
            <v>PM 400 0 FL EXTRA Zero Voc Ceiling</v>
          </cell>
        </row>
        <row r="3">
          <cell r="C3" t="str">
            <v xml:space="preserve">Waterborne Ceiling Paint White </v>
          </cell>
        </row>
        <row r="4">
          <cell r="C4" t="str">
            <v xml:space="preserve">Aura Bath &amp; Spa Matte Base 1 </v>
          </cell>
        </row>
        <row r="5">
          <cell r="C5" t="str">
            <v>PM 200 0 FL EXTRA Pro Mar 200 Zero Voc Contractor grade</v>
          </cell>
        </row>
        <row r="6">
          <cell r="C6" t="str">
            <v>PM200 HP 0 EG EW  Pro Mar 200 HP</v>
          </cell>
        </row>
        <row r="7">
          <cell r="C7" t="str">
            <v>SPR INT SA AIR EW SuperPaint Air</v>
          </cell>
        </row>
        <row r="8">
          <cell r="C8" t="str">
            <v>SCUFF TUFF MT EW Scuff X Crossover</v>
          </cell>
        </row>
        <row r="9">
          <cell r="C9" t="str">
            <v>EMERALD IN FL EXTR Emerald interior</v>
          </cell>
        </row>
        <row r="10">
          <cell r="C10" t="str">
            <v>CLRTP WBSTN WHT CAD Colour Top Ext Stain</v>
          </cell>
        </row>
        <row r="11">
          <cell r="C11" t="str">
            <v>SPR EXT FL EXTRA SuperPaint Ext</v>
          </cell>
        </row>
        <row r="12">
          <cell r="C12" t="str">
            <v>LATITUDE EXT FL EW</v>
          </cell>
        </row>
        <row r="13">
          <cell r="C13" t="str">
            <v>DURATION FL EXTRA</v>
          </cell>
        </row>
        <row r="14">
          <cell r="C14" t="str">
            <v>LXN XP EW Loxon XP</v>
          </cell>
        </row>
        <row r="15">
          <cell r="C15" t="str">
            <v>IND EN HS PUREWHT Industrial Enamel</v>
          </cell>
        </row>
        <row r="16">
          <cell r="C16" t="str">
            <v xml:space="preserve">Ultraspec Interior Low Sheen Base 1 </v>
          </cell>
        </row>
        <row r="17">
          <cell r="C17" t="str">
            <v xml:space="preserve">Scuff X Interior Pearl finish base 1 </v>
          </cell>
        </row>
        <row r="18">
          <cell r="C18" t="str">
            <v xml:space="preserve">Regal Select Int Ulti-matte Base 1 </v>
          </cell>
        </row>
        <row r="19">
          <cell r="C19" t="str">
            <v xml:space="preserve">Advance Wb Alkyd Pearl Base 1 </v>
          </cell>
        </row>
        <row r="20">
          <cell r="C20" t="str">
            <v xml:space="preserve">Regal Select Ext Low Lustre Base 1 </v>
          </cell>
        </row>
        <row r="21">
          <cell r="C21" t="str">
            <v xml:space="preserve">Arborcoat Ext. Wb Stain Solid Base </v>
          </cell>
        </row>
        <row r="22">
          <cell r="C22" t="str">
            <v xml:space="preserve">Aura Exterior Low Lustre Base 1 </v>
          </cell>
        </row>
        <row r="23">
          <cell r="C23" t="str">
            <v>Corotech Command Acrylic Urethane Satin</v>
          </cell>
        </row>
        <row r="24">
          <cell r="C24" t="str">
            <v xml:space="preserve">Coronado Rust Scat Oil Accent Base </v>
          </cell>
        </row>
        <row r="25">
          <cell r="C25" t="str">
            <v>PVA INT PRMR WHITE Drywall Primer</v>
          </cell>
        </row>
        <row r="26">
          <cell r="C26" t="str">
            <v>PM 200 0 PRIMER Zero VOC Primer</v>
          </cell>
        </row>
        <row r="27">
          <cell r="C27" t="str">
            <v xml:space="preserve">Step One Primer - White </v>
          </cell>
        </row>
        <row r="28">
          <cell r="C28" t="str">
            <v xml:space="preserve">Stix Urethane Acrylic Primer White </v>
          </cell>
        </row>
        <row r="29">
          <cell r="C29" t="str">
            <v>Bin Shellac Primer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://www.greentechpainting.com/" TargetMode="External"/><Relationship Id="rId1" Type="http://schemas.openxmlformats.org/officeDocument/2006/relationships/hyperlink" Target="mailto:customerservice@greentechpainting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11A20-3012-C546-B343-EF0199720B8F}">
  <dimension ref="A1:T51"/>
  <sheetViews>
    <sheetView tabSelected="1" zoomScale="64" zoomScaleNormal="87" workbookViewId="0">
      <selection activeCell="M30" sqref="M30"/>
    </sheetView>
  </sheetViews>
  <sheetFormatPr baseColWidth="10" defaultRowHeight="16" x14ac:dyDescent="0.2"/>
  <cols>
    <col min="1" max="1" width="14.5" customWidth="1"/>
    <col min="2" max="2" width="23.1640625" customWidth="1"/>
    <col min="4" max="4" width="10.83203125" customWidth="1"/>
    <col min="6" max="7" width="20.83203125" customWidth="1"/>
    <col min="8" max="9" width="10.6640625" customWidth="1"/>
    <col min="10" max="10" width="11.1640625" customWidth="1"/>
    <col min="13" max="16" width="10.83203125" customWidth="1"/>
  </cols>
  <sheetData>
    <row r="1" spans="1:20" ht="33" customHeight="1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ht="63" customHeight="1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ht="55" customHeight="1" x14ac:dyDescent="1">
      <c r="A3" s="2"/>
      <c r="B3" s="2"/>
      <c r="C3" s="18" t="s">
        <v>29</v>
      </c>
      <c r="D3" s="17"/>
      <c r="E3" s="2"/>
      <c r="F3" s="2"/>
      <c r="G3" s="2"/>
      <c r="H3" s="2"/>
      <c r="I3" s="2"/>
      <c r="J3" s="13" t="s">
        <v>24</v>
      </c>
      <c r="K3" s="12"/>
      <c r="L3" s="12"/>
      <c r="M3" s="2"/>
      <c r="N3" s="2"/>
      <c r="O3" s="2"/>
      <c r="P3" s="2"/>
      <c r="Q3" s="2"/>
      <c r="R3" s="2"/>
      <c r="S3" s="2"/>
      <c r="T3" s="2"/>
    </row>
    <row r="4" spans="1:20" ht="22" customHeight="1" x14ac:dyDescent="0.25">
      <c r="A4" s="31" t="s">
        <v>6</v>
      </c>
      <c r="B4" s="66"/>
      <c r="C4" s="2"/>
      <c r="D4" s="59" t="s">
        <v>30</v>
      </c>
      <c r="E4" s="20"/>
      <c r="F4" s="2"/>
      <c r="G4" s="2"/>
      <c r="H4" s="2"/>
      <c r="I4" s="2"/>
      <c r="J4" s="34" t="s">
        <v>25</v>
      </c>
      <c r="K4" s="11"/>
      <c r="L4" s="11"/>
      <c r="M4" s="2"/>
      <c r="N4" s="2"/>
      <c r="O4" s="2"/>
      <c r="P4" s="2"/>
      <c r="Q4" s="2"/>
      <c r="R4" s="2"/>
      <c r="S4" s="2"/>
      <c r="T4" s="2"/>
    </row>
    <row r="5" spans="1:20" ht="22" customHeight="1" x14ac:dyDescent="0.25">
      <c r="A5" s="31" t="s">
        <v>7</v>
      </c>
      <c r="B5" s="67"/>
      <c r="C5" s="2"/>
      <c r="D5" s="39" t="s">
        <v>35</v>
      </c>
      <c r="E5" s="61"/>
      <c r="F5" s="2"/>
      <c r="G5" s="2"/>
      <c r="H5" s="2"/>
      <c r="I5" s="54"/>
      <c r="J5" s="34" t="s">
        <v>26</v>
      </c>
      <c r="K5" s="11"/>
      <c r="L5" s="11"/>
      <c r="M5" s="2"/>
      <c r="N5" s="2"/>
      <c r="O5" s="2"/>
      <c r="P5" s="2"/>
      <c r="Q5" s="2"/>
      <c r="R5" s="2"/>
      <c r="S5" s="2"/>
      <c r="T5" s="2"/>
    </row>
    <row r="6" spans="1:20" ht="22" customHeight="1" x14ac:dyDescent="0.25">
      <c r="A6" s="31" t="s">
        <v>8</v>
      </c>
      <c r="B6" s="67"/>
      <c r="C6" s="60"/>
      <c r="D6" s="19" t="s">
        <v>38</v>
      </c>
      <c r="E6" s="20"/>
      <c r="F6" s="2"/>
      <c r="G6" s="2"/>
      <c r="H6" s="2"/>
      <c r="I6" s="2"/>
      <c r="J6" s="11">
        <v>2265042243</v>
      </c>
      <c r="K6" s="11"/>
      <c r="L6" s="11"/>
      <c r="M6" s="2"/>
      <c r="N6" s="2"/>
      <c r="O6" s="2"/>
      <c r="P6" s="2"/>
      <c r="Q6" s="2"/>
      <c r="R6" s="2"/>
      <c r="S6" s="2"/>
      <c r="T6" s="2"/>
    </row>
    <row r="7" spans="1:20" ht="22" customHeight="1" x14ac:dyDescent="0.2">
      <c r="A7" s="31" t="s">
        <v>9</v>
      </c>
      <c r="B7" s="67"/>
      <c r="C7" s="2"/>
      <c r="D7" s="62">
        <v>0.13</v>
      </c>
      <c r="E7" s="63"/>
      <c r="F7" s="2"/>
      <c r="G7" s="2"/>
      <c r="H7" s="6"/>
      <c r="I7" s="6"/>
      <c r="J7" s="15" t="s">
        <v>27</v>
      </c>
      <c r="K7" s="14"/>
      <c r="L7" s="14"/>
      <c r="M7" s="2"/>
      <c r="N7" s="2"/>
      <c r="O7" s="2"/>
      <c r="P7" s="2"/>
      <c r="Q7" s="2"/>
      <c r="R7" s="2"/>
      <c r="S7" s="2"/>
      <c r="T7" s="2"/>
    </row>
    <row r="8" spans="1:20" ht="22" customHeight="1" x14ac:dyDescent="0.2">
      <c r="A8" s="31" t="s">
        <v>10</v>
      </c>
      <c r="B8" s="67"/>
      <c r="C8" s="2"/>
      <c r="D8" s="2"/>
      <c r="E8" s="2"/>
      <c r="F8" s="2"/>
      <c r="G8" s="2"/>
      <c r="H8" s="2"/>
      <c r="I8" s="2"/>
      <c r="J8" s="16" t="s">
        <v>28</v>
      </c>
      <c r="K8" s="11"/>
      <c r="L8" s="11"/>
      <c r="M8" s="2"/>
      <c r="N8" s="2"/>
      <c r="O8" s="2"/>
      <c r="P8" s="2"/>
      <c r="Q8" s="2"/>
      <c r="R8" s="2"/>
      <c r="S8" s="2"/>
      <c r="T8" s="2"/>
    </row>
    <row r="9" spans="1:20" ht="22" customHeight="1" x14ac:dyDescent="0.2">
      <c r="A9" s="31" t="s">
        <v>23</v>
      </c>
      <c r="B9" s="68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0" ht="52" customHeight="1" x14ac:dyDescent="0.2">
      <c r="A10" s="2"/>
      <c r="B10" s="2"/>
      <c r="C10" s="13" t="s">
        <v>32</v>
      </c>
      <c r="D10" s="12"/>
      <c r="E10" s="11"/>
      <c r="F10" s="11"/>
      <c r="G10" s="11"/>
      <c r="H10" s="33"/>
      <c r="I10" s="33"/>
      <c r="J10" s="32"/>
      <c r="K10" s="12"/>
      <c r="L10" s="12"/>
      <c r="M10" s="11"/>
      <c r="N10" s="2"/>
      <c r="O10" s="2"/>
      <c r="P10" s="2"/>
      <c r="Q10" s="2"/>
      <c r="R10" s="70"/>
      <c r="S10" s="70"/>
      <c r="T10" s="2"/>
    </row>
    <row r="11" spans="1:20" ht="21" customHeight="1" x14ac:dyDescent="0.25">
      <c r="A11" s="28" t="s">
        <v>17</v>
      </c>
      <c r="B11" s="27" t="s">
        <v>11</v>
      </c>
      <c r="C11" s="29" t="s">
        <v>52</v>
      </c>
      <c r="D11" s="8"/>
      <c r="E11" s="9"/>
      <c r="F11" s="52"/>
      <c r="G11" s="53"/>
      <c r="H11" s="30" t="s">
        <v>1</v>
      </c>
      <c r="I11" s="55" t="s">
        <v>36</v>
      </c>
      <c r="J11" s="30" t="s">
        <v>4</v>
      </c>
      <c r="K11" s="36" t="s">
        <v>0</v>
      </c>
      <c r="L11" s="9"/>
      <c r="M11" s="71"/>
      <c r="N11" s="74" t="s">
        <v>15</v>
      </c>
      <c r="O11" s="72"/>
      <c r="P11" s="36" t="s">
        <v>4</v>
      </c>
      <c r="Q11" s="73"/>
      <c r="R11" s="36" t="s">
        <v>5</v>
      </c>
      <c r="S11" s="73"/>
      <c r="T11" s="2"/>
    </row>
    <row r="12" spans="1:20" ht="17" customHeight="1" x14ac:dyDescent="0.2">
      <c r="A12" s="24"/>
      <c r="B12" s="35" t="s">
        <v>33</v>
      </c>
      <c r="C12" s="3" t="s">
        <v>12</v>
      </c>
      <c r="D12" s="4" t="s">
        <v>13</v>
      </c>
      <c r="E12" s="5" t="s">
        <v>14</v>
      </c>
      <c r="F12" s="4" t="s">
        <v>50</v>
      </c>
      <c r="G12" s="37" t="s">
        <v>51</v>
      </c>
      <c r="H12" s="58" t="s">
        <v>34</v>
      </c>
      <c r="I12" s="57" t="s">
        <v>37</v>
      </c>
      <c r="J12" s="58" t="s">
        <v>34</v>
      </c>
      <c r="K12" s="37" t="s">
        <v>3</v>
      </c>
      <c r="L12" s="38" t="s">
        <v>2</v>
      </c>
      <c r="M12" s="77" t="s">
        <v>57</v>
      </c>
      <c r="N12" s="77" t="s">
        <v>58</v>
      </c>
      <c r="O12" s="77" t="s">
        <v>31</v>
      </c>
      <c r="P12" s="77" t="s">
        <v>16</v>
      </c>
      <c r="Q12" s="76" t="s">
        <v>31</v>
      </c>
      <c r="R12" s="79" t="s">
        <v>16</v>
      </c>
      <c r="S12" s="76" t="s">
        <v>31</v>
      </c>
      <c r="T12" s="2"/>
    </row>
    <row r="13" spans="1:20" x14ac:dyDescent="0.2">
      <c r="A13" s="21">
        <v>1</v>
      </c>
      <c r="B13" s="40" t="s">
        <v>43</v>
      </c>
      <c r="C13" s="43">
        <v>2</v>
      </c>
      <c r="D13" s="43">
        <v>2</v>
      </c>
      <c r="E13" s="43">
        <v>4</v>
      </c>
      <c r="F13" s="51" t="s">
        <v>49</v>
      </c>
      <c r="G13" s="51" t="s">
        <v>46</v>
      </c>
      <c r="H13" s="46" t="s">
        <v>20</v>
      </c>
      <c r="I13" s="56" t="s">
        <v>44</v>
      </c>
      <c r="J13" s="46" t="s">
        <v>19</v>
      </c>
      <c r="K13" s="51">
        <v>1</v>
      </c>
      <c r="L13" s="47">
        <v>1</v>
      </c>
      <c r="M13" s="42" t="s">
        <v>40</v>
      </c>
      <c r="N13" s="44"/>
      <c r="O13" s="47"/>
      <c r="P13" s="42"/>
      <c r="Q13" s="44"/>
      <c r="R13" s="80"/>
      <c r="S13" s="78"/>
      <c r="T13" s="2"/>
    </row>
    <row r="14" spans="1:20" x14ac:dyDescent="0.2">
      <c r="A14" s="22">
        <v>2</v>
      </c>
      <c r="B14" s="41" t="s">
        <v>55</v>
      </c>
      <c r="C14" s="44">
        <v>1</v>
      </c>
      <c r="D14" s="44">
        <v>2</v>
      </c>
      <c r="E14" s="44">
        <v>3</v>
      </c>
      <c r="F14" s="44" t="s">
        <v>48</v>
      </c>
      <c r="G14" s="44" t="s">
        <v>46</v>
      </c>
      <c r="H14" s="41" t="s">
        <v>19</v>
      </c>
      <c r="I14" s="41" t="s">
        <v>45</v>
      </c>
      <c r="J14" s="41" t="s">
        <v>20</v>
      </c>
      <c r="K14" s="44"/>
      <c r="L14" s="48"/>
      <c r="M14" s="42"/>
      <c r="N14" s="44"/>
      <c r="O14" s="48"/>
      <c r="P14" s="42"/>
      <c r="Q14" s="44"/>
      <c r="R14" s="42"/>
      <c r="S14" s="48"/>
      <c r="T14" s="2"/>
    </row>
    <row r="15" spans="1:20" x14ac:dyDescent="0.2">
      <c r="A15" s="21">
        <v>3</v>
      </c>
      <c r="B15" s="41" t="s">
        <v>60</v>
      </c>
      <c r="C15" s="44">
        <v>2</v>
      </c>
      <c r="D15" s="44"/>
      <c r="E15" s="44">
        <v>6</v>
      </c>
      <c r="F15" s="44" t="s">
        <v>49</v>
      </c>
      <c r="G15" s="44"/>
      <c r="H15" s="41" t="s">
        <v>20</v>
      </c>
      <c r="I15" s="41" t="s">
        <v>44</v>
      </c>
      <c r="J15" s="41" t="s">
        <v>20</v>
      </c>
      <c r="K15" s="44"/>
      <c r="L15" s="48"/>
      <c r="M15" s="42"/>
      <c r="N15" s="44"/>
      <c r="O15" s="48"/>
      <c r="P15" s="42"/>
      <c r="Q15" s="44"/>
      <c r="R15" s="42"/>
      <c r="S15" s="48"/>
      <c r="T15" s="2"/>
    </row>
    <row r="16" spans="1:20" x14ac:dyDescent="0.2">
      <c r="A16" s="21">
        <v>4</v>
      </c>
      <c r="B16" s="41" t="s">
        <v>21</v>
      </c>
      <c r="C16" s="44">
        <v>1</v>
      </c>
      <c r="D16" s="44"/>
      <c r="E16" s="44"/>
      <c r="F16" s="44" t="s">
        <v>48</v>
      </c>
      <c r="G16" s="44" t="s">
        <v>47</v>
      </c>
      <c r="H16" s="41" t="s">
        <v>19</v>
      </c>
      <c r="I16" s="41" t="s">
        <v>44</v>
      </c>
      <c r="J16" s="41" t="s">
        <v>20</v>
      </c>
      <c r="K16" s="44"/>
      <c r="L16" s="48"/>
      <c r="M16" s="42" t="s">
        <v>59</v>
      </c>
      <c r="N16" s="44"/>
      <c r="O16" s="48"/>
      <c r="P16" s="42"/>
      <c r="Q16" s="44"/>
      <c r="R16" s="42"/>
      <c r="S16" s="48"/>
      <c r="T16" s="2"/>
    </row>
    <row r="17" spans="1:20" x14ac:dyDescent="0.2">
      <c r="A17" s="21">
        <v>5</v>
      </c>
      <c r="B17" s="41" t="s">
        <v>56</v>
      </c>
      <c r="C17" s="44">
        <v>1</v>
      </c>
      <c r="D17" s="44"/>
      <c r="E17" s="44"/>
      <c r="F17" s="44" t="s">
        <v>49</v>
      </c>
      <c r="G17" s="44"/>
      <c r="H17" s="41" t="s">
        <v>20</v>
      </c>
      <c r="I17" s="41"/>
      <c r="J17" s="41" t="s">
        <v>19</v>
      </c>
      <c r="K17" s="44"/>
      <c r="L17" s="48"/>
      <c r="M17" s="42"/>
      <c r="N17" s="44"/>
      <c r="O17" s="48"/>
      <c r="P17" s="42"/>
      <c r="Q17" s="44"/>
      <c r="R17" s="42"/>
      <c r="S17" s="48"/>
      <c r="T17" s="2"/>
    </row>
    <row r="18" spans="1:20" x14ac:dyDescent="0.2">
      <c r="A18" s="21">
        <v>6</v>
      </c>
      <c r="B18" s="41" t="s">
        <v>21</v>
      </c>
      <c r="C18" s="44">
        <v>5</v>
      </c>
      <c r="D18" s="44"/>
      <c r="E18" s="44"/>
      <c r="F18" s="44" t="s">
        <v>49</v>
      </c>
      <c r="G18" s="44" t="s">
        <v>53</v>
      </c>
      <c r="H18" s="41" t="s">
        <v>20</v>
      </c>
      <c r="I18" s="41" t="s">
        <v>54</v>
      </c>
      <c r="J18" s="41"/>
      <c r="K18" s="44"/>
      <c r="L18" s="48"/>
      <c r="M18" s="42"/>
      <c r="N18" s="44"/>
      <c r="O18" s="48"/>
      <c r="P18" s="42"/>
      <c r="Q18" s="44"/>
      <c r="R18" s="42"/>
      <c r="S18" s="48"/>
      <c r="T18" s="2"/>
    </row>
    <row r="19" spans="1:20" x14ac:dyDescent="0.2">
      <c r="A19" s="21">
        <v>7</v>
      </c>
      <c r="B19" s="41" t="s">
        <v>22</v>
      </c>
      <c r="C19" s="44"/>
      <c r="D19" s="44"/>
      <c r="E19" s="44"/>
      <c r="F19" s="44" t="s">
        <v>49</v>
      </c>
      <c r="G19" s="44"/>
      <c r="H19" s="41" t="s">
        <v>19</v>
      </c>
      <c r="I19" s="41"/>
      <c r="J19" s="41" t="s">
        <v>19</v>
      </c>
      <c r="K19" s="44"/>
      <c r="L19" s="48"/>
      <c r="M19" s="42"/>
      <c r="N19" s="44"/>
      <c r="O19" s="48"/>
      <c r="P19" s="42"/>
      <c r="Q19" s="44"/>
      <c r="R19" s="42"/>
      <c r="S19" s="48"/>
      <c r="T19" s="2"/>
    </row>
    <row r="20" spans="1:20" x14ac:dyDescent="0.2">
      <c r="A20" s="21">
        <v>8</v>
      </c>
      <c r="B20" s="41" t="s">
        <v>42</v>
      </c>
      <c r="C20" s="44"/>
      <c r="D20" s="44"/>
      <c r="E20" s="44"/>
      <c r="F20" s="44"/>
      <c r="G20" s="44"/>
      <c r="H20" s="41" t="s">
        <v>19</v>
      </c>
      <c r="I20" s="41"/>
      <c r="J20" s="41"/>
      <c r="K20" s="44"/>
      <c r="L20" s="48"/>
      <c r="M20" s="42"/>
      <c r="N20" s="44"/>
      <c r="O20" s="48"/>
      <c r="P20" s="42"/>
      <c r="Q20" s="44"/>
      <c r="R20" s="42"/>
      <c r="S20" s="48"/>
      <c r="T20" s="2"/>
    </row>
    <row r="21" spans="1:20" x14ac:dyDescent="0.2">
      <c r="A21" s="21">
        <v>9</v>
      </c>
      <c r="B21" s="41" t="s">
        <v>21</v>
      </c>
      <c r="C21" s="44"/>
      <c r="D21" s="44"/>
      <c r="E21" s="44"/>
      <c r="F21" s="44"/>
      <c r="G21" s="44"/>
      <c r="H21" s="41" t="s">
        <v>19</v>
      </c>
      <c r="I21" s="41"/>
      <c r="J21" s="41"/>
      <c r="K21" s="44"/>
      <c r="L21" s="48"/>
      <c r="M21" s="42"/>
      <c r="N21" s="44"/>
      <c r="O21" s="48"/>
      <c r="P21" s="42"/>
      <c r="Q21" s="44"/>
      <c r="R21" s="42"/>
      <c r="S21" s="48"/>
      <c r="T21" s="2"/>
    </row>
    <row r="22" spans="1:20" x14ac:dyDescent="0.2">
      <c r="A22" s="21">
        <v>10</v>
      </c>
      <c r="B22" s="41"/>
      <c r="C22" s="44"/>
      <c r="D22" s="44"/>
      <c r="E22" s="44"/>
      <c r="F22" s="44"/>
      <c r="G22" s="44"/>
      <c r="H22" s="41" t="s">
        <v>20</v>
      </c>
      <c r="I22" s="41"/>
      <c r="J22" s="41" t="s">
        <v>19</v>
      </c>
      <c r="K22" s="44"/>
      <c r="L22" s="48"/>
      <c r="M22" s="42"/>
      <c r="N22" s="44"/>
      <c r="O22" s="48"/>
      <c r="P22" s="42"/>
      <c r="Q22" s="44"/>
      <c r="R22" s="42"/>
      <c r="S22" s="48"/>
      <c r="T22" s="2"/>
    </row>
    <row r="23" spans="1:20" x14ac:dyDescent="0.2">
      <c r="A23" s="21">
        <v>11</v>
      </c>
      <c r="B23" s="41"/>
      <c r="C23" s="44"/>
      <c r="D23" s="44"/>
      <c r="E23" s="44"/>
      <c r="F23" s="44"/>
      <c r="G23" s="44"/>
      <c r="H23" s="41" t="s">
        <v>20</v>
      </c>
      <c r="I23" s="41"/>
      <c r="J23" s="41" t="s">
        <v>19</v>
      </c>
      <c r="K23" s="44"/>
      <c r="L23" s="48"/>
      <c r="M23" s="42"/>
      <c r="N23" s="44"/>
      <c r="O23" s="48"/>
      <c r="P23" s="42"/>
      <c r="Q23" s="44"/>
      <c r="R23" s="42"/>
      <c r="S23" s="48"/>
      <c r="T23" s="2"/>
    </row>
    <row r="24" spans="1:20" x14ac:dyDescent="0.2">
      <c r="A24" s="21">
        <v>12</v>
      </c>
      <c r="B24" s="41"/>
      <c r="C24" s="44"/>
      <c r="D24" s="44"/>
      <c r="E24" s="44"/>
      <c r="F24" s="44"/>
      <c r="G24" s="44"/>
      <c r="H24" s="41" t="s">
        <v>19</v>
      </c>
      <c r="I24" s="41"/>
      <c r="J24" s="41"/>
      <c r="K24" s="44"/>
      <c r="L24" s="48"/>
      <c r="M24" s="42"/>
      <c r="N24" s="44"/>
      <c r="O24" s="48"/>
      <c r="P24" s="42"/>
      <c r="Q24" s="44"/>
      <c r="R24" s="42"/>
      <c r="S24" s="48"/>
      <c r="T24" s="2"/>
    </row>
    <row r="25" spans="1:20" x14ac:dyDescent="0.2">
      <c r="A25" s="21">
        <v>13</v>
      </c>
      <c r="B25" s="41"/>
      <c r="C25" s="44"/>
      <c r="D25" s="44"/>
      <c r="E25" s="44"/>
      <c r="F25" s="44"/>
      <c r="G25" s="44"/>
      <c r="H25" s="41" t="s">
        <v>19</v>
      </c>
      <c r="I25" s="41"/>
      <c r="J25" s="41"/>
      <c r="K25" s="44"/>
      <c r="L25" s="48"/>
      <c r="M25" s="42"/>
      <c r="N25" s="44"/>
      <c r="O25" s="48"/>
      <c r="P25" s="42"/>
      <c r="Q25" s="44"/>
      <c r="R25" s="42"/>
      <c r="S25" s="48"/>
      <c r="T25" s="2"/>
    </row>
    <row r="26" spans="1:20" x14ac:dyDescent="0.2">
      <c r="A26" s="21">
        <v>14</v>
      </c>
      <c r="B26" s="41"/>
      <c r="C26" s="44"/>
      <c r="D26" s="44"/>
      <c r="E26" s="44"/>
      <c r="F26" s="44"/>
      <c r="G26" s="44"/>
      <c r="H26" s="41" t="s">
        <v>19</v>
      </c>
      <c r="I26" s="41"/>
      <c r="J26" s="41"/>
      <c r="K26" s="44"/>
      <c r="L26" s="48"/>
      <c r="M26" s="42"/>
      <c r="N26" s="44"/>
      <c r="O26" s="48"/>
      <c r="P26" s="42"/>
      <c r="Q26" s="44"/>
      <c r="R26" s="42"/>
      <c r="S26" s="48"/>
      <c r="T26" s="2"/>
    </row>
    <row r="27" spans="1:20" x14ac:dyDescent="0.2">
      <c r="A27" s="23">
        <v>15</v>
      </c>
      <c r="B27" s="42"/>
      <c r="C27" s="45"/>
      <c r="D27" s="45"/>
      <c r="E27" s="45"/>
      <c r="F27" s="45"/>
      <c r="G27" s="45"/>
      <c r="H27" s="42" t="s">
        <v>20</v>
      </c>
      <c r="I27" s="42"/>
      <c r="J27" s="42"/>
      <c r="K27" s="45"/>
      <c r="L27" s="49"/>
      <c r="M27" s="42"/>
      <c r="N27" s="44"/>
      <c r="O27" s="48"/>
      <c r="P27" s="42"/>
      <c r="Q27" s="45"/>
      <c r="R27" s="42"/>
      <c r="S27" s="49"/>
      <c r="T27" s="2"/>
    </row>
    <row r="28" spans="1:20" hidden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1" t="s">
        <v>18</v>
      </c>
      <c r="L28" s="7">
        <v>0.13</v>
      </c>
      <c r="M28" s="2"/>
      <c r="N28" s="2"/>
      <c r="O28" s="2"/>
      <c r="P28" s="2"/>
      <c r="Q28" s="2"/>
      <c r="R28" s="2"/>
      <c r="S28" s="2"/>
      <c r="T28" s="2"/>
    </row>
    <row r="29" spans="1:20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1"/>
      <c r="L29" s="75"/>
      <c r="M29" s="69"/>
      <c r="N29" s="69"/>
      <c r="O29" s="69"/>
      <c r="P29" s="2"/>
      <c r="Q29" s="2"/>
      <c r="R29" s="2"/>
      <c r="S29" s="2"/>
      <c r="T29" s="2"/>
    </row>
    <row r="30" spans="1:20" ht="30" customHeight="1" x14ac:dyDescent="0.2">
      <c r="A30" s="13"/>
      <c r="B30" s="13"/>
      <c r="C30" s="26"/>
      <c r="D30" s="26"/>
      <c r="E30" s="26"/>
      <c r="F30" s="10"/>
      <c r="G30" s="10"/>
      <c r="H30" s="10"/>
      <c r="I30" s="10"/>
      <c r="J30" s="25"/>
      <c r="K30" s="10"/>
      <c r="L30" s="10"/>
      <c r="M30" s="10"/>
      <c r="N30" s="2"/>
      <c r="O30" s="2"/>
      <c r="P30" s="2"/>
      <c r="Q30" s="2"/>
      <c r="R30" s="2"/>
      <c r="S30" s="2"/>
      <c r="T30" s="2"/>
    </row>
    <row r="31" spans="1:20" x14ac:dyDescent="0.2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2"/>
      <c r="O31" s="2"/>
      <c r="P31" s="2"/>
      <c r="Q31" s="2"/>
      <c r="R31" s="2"/>
      <c r="S31" s="2"/>
      <c r="T31" s="2"/>
    </row>
    <row r="32" spans="1:20" x14ac:dyDescent="0.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2"/>
      <c r="O32" s="2"/>
      <c r="P32" s="2"/>
      <c r="Q32" s="2"/>
      <c r="R32" s="2"/>
      <c r="S32" s="2"/>
      <c r="T32" s="2"/>
    </row>
    <row r="33" spans="1:20" x14ac:dyDescent="0.2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2"/>
      <c r="O33" s="2"/>
      <c r="P33" s="2"/>
      <c r="Q33" s="2"/>
      <c r="R33" s="2"/>
      <c r="S33" s="2"/>
      <c r="T33" s="2"/>
    </row>
    <row r="34" spans="1:20" x14ac:dyDescent="0.2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2"/>
      <c r="O34" s="2"/>
      <c r="P34" s="2"/>
      <c r="Q34" s="2"/>
      <c r="R34" s="2"/>
      <c r="S34" s="2"/>
      <c r="T34" s="2"/>
    </row>
    <row r="35" spans="1:20" x14ac:dyDescent="0.2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2"/>
      <c r="O35" s="2"/>
      <c r="P35" s="2"/>
      <c r="Q35" s="1"/>
      <c r="R35" s="2"/>
      <c r="S35" s="2"/>
      <c r="T35" s="2"/>
    </row>
    <row r="36" spans="1:20" x14ac:dyDescent="0.2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2"/>
      <c r="O36" s="2"/>
      <c r="P36" s="2"/>
      <c r="Q36" s="2"/>
      <c r="R36" s="2"/>
      <c r="S36" s="2"/>
      <c r="T36" s="2"/>
    </row>
    <row r="37" spans="1:20" x14ac:dyDescent="0.2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2"/>
      <c r="O37" s="2"/>
      <c r="P37" s="2"/>
      <c r="Q37" s="2"/>
      <c r="R37" s="2"/>
      <c r="S37" s="2"/>
      <c r="T37" s="2"/>
    </row>
    <row r="38" spans="1:20" x14ac:dyDescent="0.2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2"/>
      <c r="O38" s="2"/>
      <c r="P38" s="2"/>
      <c r="Q38" s="2"/>
      <c r="R38" s="2"/>
      <c r="S38" s="2"/>
      <c r="T38" s="2"/>
    </row>
    <row r="39" spans="1:20" x14ac:dyDescent="0.2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2"/>
      <c r="O39" s="2"/>
      <c r="P39" s="2"/>
      <c r="Q39" s="2"/>
      <c r="R39" s="2"/>
      <c r="S39" s="2"/>
      <c r="T39" s="2"/>
    </row>
    <row r="40" spans="1:20" x14ac:dyDescent="0.2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2"/>
      <c r="O40" s="2"/>
      <c r="P40" s="2"/>
      <c r="Q40" s="2"/>
      <c r="R40" s="2"/>
      <c r="S40" s="2"/>
      <c r="T40" s="2"/>
    </row>
    <row r="41" spans="1:20" x14ac:dyDescent="0.2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2"/>
      <c r="O41" s="2"/>
      <c r="P41" s="2"/>
      <c r="Q41" s="2"/>
      <c r="R41" s="2"/>
      <c r="S41" s="2"/>
      <c r="T41" s="2"/>
    </row>
    <row r="42" spans="1:20" x14ac:dyDescent="0.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2"/>
      <c r="O42" s="2"/>
      <c r="P42" s="2"/>
      <c r="Q42" s="2"/>
      <c r="R42" s="2"/>
      <c r="S42" s="2"/>
      <c r="T42" s="2"/>
    </row>
    <row r="43" spans="1:20" x14ac:dyDescent="0.2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2"/>
      <c r="O43" s="2"/>
      <c r="P43" s="2"/>
      <c r="Q43" s="2"/>
      <c r="R43" s="2"/>
      <c r="S43" s="2"/>
      <c r="T43" s="2"/>
    </row>
    <row r="44" spans="1:20" x14ac:dyDescent="0.2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2"/>
      <c r="O44" s="2"/>
      <c r="P44" s="2"/>
      <c r="Q44" s="2"/>
      <c r="R44" s="2"/>
      <c r="S44" s="2"/>
      <c r="T44" s="2"/>
    </row>
    <row r="45" spans="1:20" x14ac:dyDescent="0.2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2"/>
      <c r="Q45" s="2"/>
      <c r="R45" s="2"/>
      <c r="S45" s="2"/>
      <c r="T45" s="2"/>
    </row>
    <row r="46" spans="1:20" x14ac:dyDescent="0.2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2"/>
      <c r="Q46" s="2"/>
      <c r="R46" s="2"/>
      <c r="S46" s="2"/>
      <c r="T46" s="2"/>
    </row>
    <row r="47" spans="1:20" x14ac:dyDescent="0.2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2"/>
      <c r="Q47" s="2"/>
      <c r="R47" s="2"/>
      <c r="S47" s="2"/>
      <c r="T47" s="2"/>
    </row>
    <row r="48" spans="1:20" x14ac:dyDescent="0.2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2"/>
      <c r="Q48" s="2"/>
      <c r="R48" s="2"/>
      <c r="S48" s="2"/>
      <c r="T48" s="2"/>
    </row>
    <row r="49" spans="1:20" x14ac:dyDescent="0.2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2"/>
      <c r="Q49" s="2"/>
      <c r="R49" s="2"/>
      <c r="S49" s="2"/>
      <c r="T49" s="2"/>
    </row>
    <row r="50" spans="1:20" x14ac:dyDescent="0.2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2"/>
      <c r="Q50" s="2"/>
      <c r="R50" s="2"/>
      <c r="S50" s="2"/>
      <c r="T50" s="2"/>
    </row>
    <row r="51" spans="1:20" x14ac:dyDescent="0.2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2"/>
      <c r="Q51" s="2"/>
      <c r="R51" s="2"/>
      <c r="S51" s="2"/>
      <c r="T51" s="2"/>
    </row>
  </sheetData>
  <sheetProtection selectLockedCells="1" autoFilter="0"/>
  <dataValidations count="7">
    <dataValidation type="list" allowBlank="1" showInputMessage="1" showErrorMessage="1" sqref="J13:J27 H13:H27" xr:uid="{4A75AADE-87AA-BD4B-A5B1-4927F9ED03E6}">
      <formula1>"Yes,No"</formula1>
    </dataValidation>
    <dataValidation type="list" allowBlank="1" showInputMessage="1" showErrorMessage="1" sqref="D5" xr:uid="{A3682800-F141-7944-9366-5C9CCAF77710}">
      <formula1>"Commercial,Standard,Special"</formula1>
    </dataValidation>
    <dataValidation type="list" allowBlank="1" showInputMessage="1" showErrorMessage="1" sqref="B13:B27" xr:uid="{BC34BBEA-F6F4-7E42-BC61-516DC6203207}">
      <formula1>Roomlist</formula1>
    </dataValidation>
    <dataValidation type="list" allowBlank="1" showInputMessage="1" showErrorMessage="1" sqref="B31:B37 M13:M27" xr:uid="{0A803F25-07ED-D54A-ACC8-3DD5C5407CB1}">
      <formula1>door</formula1>
    </dataValidation>
    <dataValidation type="list" allowBlank="1" showInputMessage="1" showErrorMessage="1" sqref="F13:F27" xr:uid="{0ADC11DB-9490-2F41-832B-313DFBA2DF1B}">
      <formula1>Primer</formula1>
    </dataValidation>
    <dataValidation type="list" allowBlank="1" showInputMessage="1" showErrorMessage="1" sqref="G13:G27" xr:uid="{3D1B4C50-9980-0943-A11C-18C0E6EEE473}">
      <formula1>Finishpainting</formula1>
    </dataValidation>
    <dataValidation type="list" allowBlank="1" showInputMessage="1" showErrorMessage="1" sqref="I13:I21 I23:I27" xr:uid="{523AF60E-5A1C-BF4E-9804-028EF1EA4BE3}">
      <formula1>Ceiling</formula1>
    </dataValidation>
  </dataValidations>
  <hyperlinks>
    <hyperlink ref="J7" r:id="rId1" xr:uid="{D9161236-4B76-5544-A112-949F497EC408}"/>
    <hyperlink ref="J8" r:id="rId2" xr:uid="{9028428F-0ABC-5747-9788-3E4FB9581F84}"/>
  </hyperlinks>
  <pageMargins left="0.7" right="0.7" top="0.75" bottom="0.75" header="0.3" footer="0.3"/>
  <pageSetup orientation="portrait" horizontalDpi="0" verticalDpi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4A602-95DC-A241-A027-17783BA83B58}">
  <dimension ref="A1:I25"/>
  <sheetViews>
    <sheetView zoomScale="68" workbookViewId="0">
      <selection activeCell="A12" sqref="A12"/>
    </sheetView>
  </sheetViews>
  <sheetFormatPr baseColWidth="10" defaultRowHeight="16" x14ac:dyDescent="0.2"/>
  <cols>
    <col min="1" max="1" width="19.83203125" customWidth="1"/>
    <col min="3" max="3" width="25.33203125" customWidth="1"/>
    <col min="5" max="5" width="30.83203125" customWidth="1"/>
    <col min="7" max="7" width="49" customWidth="1"/>
    <col min="9" max="9" width="31.1640625" customWidth="1"/>
  </cols>
  <sheetData>
    <row r="1" spans="1:9" x14ac:dyDescent="0.2">
      <c r="A1" s="64" t="s">
        <v>39</v>
      </c>
      <c r="C1" s="65" t="s">
        <v>41</v>
      </c>
      <c r="E1" t="s">
        <v>1</v>
      </c>
      <c r="G1" t="s">
        <v>2</v>
      </c>
      <c r="I1" t="s">
        <v>3</v>
      </c>
    </row>
    <row r="2" spans="1:9" x14ac:dyDescent="0.2">
      <c r="A2" s="50" t="str">
        <f>[1]Rates_Master_Paint!B2</f>
        <v>Single standard wood door</v>
      </c>
      <c r="C2" t="str">
        <f>'[1]Room list'!A2</f>
        <v>Basement</v>
      </c>
      <c r="E2" t="str">
        <f>[1]Paint_Prices!C2</f>
        <v>PM 400 0 FL EXTRA Zero Voc Ceiling</v>
      </c>
      <c r="G2" t="str">
        <f>[1]Paint_Prices!C4</f>
        <v xml:space="preserve">Aura Bath &amp; Spa Matte Base 1 </v>
      </c>
      <c r="I2" t="str">
        <f>[1]Paint_Prices!C25</f>
        <v>PVA INT PRMR WHITE Drywall Primer</v>
      </c>
    </row>
    <row r="3" spans="1:9" x14ac:dyDescent="0.2">
      <c r="A3" s="50" t="str">
        <f>[1]Rates_Master_Paint!B3</f>
        <v>One and a half wood door</v>
      </c>
      <c r="C3" t="str">
        <f>'[1]Room list'!A3</f>
        <v>Bathroom</v>
      </c>
      <c r="E3" t="str">
        <f>[1]Paint_Prices!C3</f>
        <v xml:space="preserve">Waterborne Ceiling Paint White </v>
      </c>
      <c r="G3" t="str">
        <f>[1]Paint_Prices!C5</f>
        <v>PM 200 0 FL EXTRA Pro Mar 200 Zero Voc Contractor grade</v>
      </c>
      <c r="I3" t="str">
        <f>[1]Paint_Prices!C26</f>
        <v>PM 200 0 PRIMER Zero VOC Primer</v>
      </c>
    </row>
    <row r="4" spans="1:9" x14ac:dyDescent="0.2">
      <c r="A4" s="50" t="str">
        <f>[1]Rates_Master_Paint!B4</f>
        <v>Bi-fold wood door</v>
      </c>
      <c r="C4" t="str">
        <f>'[1]Room list'!A4</f>
        <v>Bedroom</v>
      </c>
      <c r="E4" t="str">
        <f>[1]Paint_Prices!C4</f>
        <v xml:space="preserve">Aura Bath &amp; Spa Matte Base 1 </v>
      </c>
      <c r="G4" t="str">
        <f>[1]Paint_Prices!C6</f>
        <v>PM200 HP 0 EG EW  Pro Mar 200 HP</v>
      </c>
      <c r="I4" t="str">
        <f>[1]Paint_Prices!C27</f>
        <v xml:space="preserve">Step One Primer - White </v>
      </c>
    </row>
    <row r="5" spans="1:9" x14ac:dyDescent="0.2">
      <c r="A5" s="50" t="str">
        <f>[1]Rates_Master_Paint!B5</f>
        <v>Single tall wood door</v>
      </c>
      <c r="C5" t="str">
        <f>'[1]Room list'!A5</f>
        <v>Closet</v>
      </c>
      <c r="G5" t="str">
        <f>[1]Paint_Prices!C7</f>
        <v>SPR INT SA AIR EW SuperPaint Air</v>
      </c>
      <c r="I5" t="str">
        <f>[1]Paint_Prices!C28</f>
        <v xml:space="preserve">Stix Urethane Acrylic Primer White </v>
      </c>
    </row>
    <row r="6" spans="1:9" x14ac:dyDescent="0.2">
      <c r="A6" s="50" t="str">
        <f>[1]Rates_Master_Paint!B6</f>
        <v>One and a half tall wood door</v>
      </c>
      <c r="C6" t="str">
        <f>'[1]Room list'!A6</f>
        <v>Dinning room</v>
      </c>
      <c r="G6" t="str">
        <f>[1]Paint_Prices!C8</f>
        <v>SCUFF TUFF MT EW Scuff X Crossover</v>
      </c>
      <c r="I6" t="str">
        <f>[1]Paint_Prices!C29</f>
        <v>Bin Shellac Primer</v>
      </c>
    </row>
    <row r="7" spans="1:9" x14ac:dyDescent="0.2">
      <c r="A7" s="50" t="str">
        <f>[1]Rates_Master_Paint!B7</f>
        <v>Bi-fold tall  wood door</v>
      </c>
      <c r="C7" t="str">
        <f>'[1]Room list'!A7</f>
        <v xml:space="preserve">Entrance </v>
      </c>
      <c r="G7" t="str">
        <f>[1]Paint_Prices!C9</f>
        <v>EMERALD IN FL EXTR Emerald interior</v>
      </c>
    </row>
    <row r="8" spans="1:9" x14ac:dyDescent="0.2">
      <c r="A8" s="50" t="str">
        <f>[1]Rates_Master_Paint!B8</f>
        <v>Single Metal man door</v>
      </c>
      <c r="C8" t="str">
        <f>'[1]Room list'!A8</f>
        <v>Foyer</v>
      </c>
      <c r="G8" t="str">
        <f>[1]Paint_Prices!C10</f>
        <v>CLRTP WBSTN WHT CAD Colour Top Ext Stain</v>
      </c>
    </row>
    <row r="9" spans="1:9" x14ac:dyDescent="0.2">
      <c r="A9" s="50" t="str">
        <f>[1]Rates_Master_Paint!B9</f>
        <v>One and a half Metal man door</v>
      </c>
      <c r="C9" t="str">
        <f>'[1]Room list'!A9</f>
        <v>Garage</v>
      </c>
      <c r="G9" t="str">
        <f>[1]Paint_Prices!C11</f>
        <v>SPR EXT FL EXTRA SuperPaint Ext</v>
      </c>
    </row>
    <row r="10" spans="1:9" x14ac:dyDescent="0.2">
      <c r="A10" s="50" t="str">
        <f>[1]Rates_Master_Paint!B10</f>
        <v>Bi-fold Metal man door</v>
      </c>
      <c r="C10" t="str">
        <f>'[1]Room list'!A10</f>
        <v>Half-Bath</v>
      </c>
      <c r="G10" t="str">
        <f>[1]Paint_Prices!C12</f>
        <v>LATITUDE EXT FL EW</v>
      </c>
    </row>
    <row r="11" spans="1:9" x14ac:dyDescent="0.2">
      <c r="A11" s="50"/>
      <c r="C11" t="str">
        <f>'[1]Room list'!A11</f>
        <v>Hallway</v>
      </c>
      <c r="G11" t="str">
        <f>[1]Paint_Prices!C13</f>
        <v>DURATION FL EXTRA</v>
      </c>
    </row>
    <row r="12" spans="1:9" x14ac:dyDescent="0.2">
      <c r="C12" t="str">
        <f>'[1]Room list'!A12</f>
        <v>Home Office</v>
      </c>
      <c r="G12" t="str">
        <f>[1]Paint_Prices!C14</f>
        <v>LXN XP EW Loxon XP</v>
      </c>
    </row>
    <row r="13" spans="1:9" x14ac:dyDescent="0.2">
      <c r="C13" t="str">
        <f>'[1]Room list'!A13</f>
        <v>Kitchen</v>
      </c>
      <c r="G13" t="str">
        <f>[1]Paint_Prices!C15</f>
        <v>IND EN HS PUREWHT Industrial Enamel</v>
      </c>
    </row>
    <row r="14" spans="1:9" x14ac:dyDescent="0.2">
      <c r="C14" t="str">
        <f>'[1]Room list'!A14</f>
        <v>Laundry room</v>
      </c>
      <c r="G14" t="str">
        <f>[1]Paint_Prices!C16</f>
        <v xml:space="preserve">Ultraspec Interior Low Sheen Base 1 </v>
      </c>
    </row>
    <row r="15" spans="1:9" x14ac:dyDescent="0.2">
      <c r="C15" t="str">
        <f>'[1]Room list'!A15</f>
        <v>Library</v>
      </c>
      <c r="G15" t="str">
        <f>[1]Paint_Prices!C17</f>
        <v xml:space="preserve">Scuff X Interior Pearl finish base 1 </v>
      </c>
    </row>
    <row r="16" spans="1:9" x14ac:dyDescent="0.2">
      <c r="C16" t="str">
        <f>'[1]Room list'!A16</f>
        <v>Living room</v>
      </c>
      <c r="G16" t="str">
        <f>[1]Paint_Prices!C18</f>
        <v xml:space="preserve">Regal Select Int Ulti-matte Base 1 </v>
      </c>
    </row>
    <row r="17" spans="3:7" x14ac:dyDescent="0.2">
      <c r="C17" t="str">
        <f>'[1]Room list'!A17</f>
        <v>Master bedroom</v>
      </c>
      <c r="G17" t="str">
        <f>[1]Paint_Prices!C19</f>
        <v xml:space="preserve">Advance Wb Alkyd Pearl Base 1 </v>
      </c>
    </row>
    <row r="18" spans="3:7" x14ac:dyDescent="0.2">
      <c r="C18" t="str">
        <f>'[1]Room list'!A18</f>
        <v>Mechanical room</v>
      </c>
      <c r="G18" t="str">
        <f>[1]Paint_Prices!C20</f>
        <v xml:space="preserve">Regal Select Ext Low Lustre Base 1 </v>
      </c>
    </row>
    <row r="19" spans="3:7" x14ac:dyDescent="0.2">
      <c r="C19" t="str">
        <f>'[1]Room list'!A19</f>
        <v>Room 1</v>
      </c>
      <c r="G19" t="str">
        <f>[1]Paint_Prices!C21</f>
        <v xml:space="preserve">Arborcoat Ext. Wb Stain Solid Base </v>
      </c>
    </row>
    <row r="20" spans="3:7" x14ac:dyDescent="0.2">
      <c r="C20" t="str">
        <f>'[1]Room list'!A20</f>
        <v>Room 2</v>
      </c>
      <c r="G20" t="str">
        <f>[1]Paint_Prices!C22</f>
        <v xml:space="preserve">Aura Exterior Low Lustre Base 1 </v>
      </c>
    </row>
    <row r="21" spans="3:7" x14ac:dyDescent="0.2">
      <c r="C21" t="str">
        <f>'[1]Room list'!A21</f>
        <v>Stairwell</v>
      </c>
      <c r="G21" t="str">
        <f>[1]Paint_Prices!C23</f>
        <v>Corotech Command Acrylic Urethane Satin</v>
      </c>
    </row>
    <row r="22" spans="3:7" x14ac:dyDescent="0.2">
      <c r="C22" t="str">
        <f>'[1]Room list'!A22</f>
        <v>Storage room</v>
      </c>
      <c r="G22" t="str">
        <f>[1]Paint_Prices!C24</f>
        <v xml:space="preserve">Coronado Rust Scat Oil Accent Base </v>
      </c>
    </row>
    <row r="23" spans="3:7" x14ac:dyDescent="0.2">
      <c r="C23" t="str">
        <f>'[1]Room list'!A23</f>
        <v>Sunroom</v>
      </c>
    </row>
    <row r="24" spans="3:7" x14ac:dyDescent="0.2">
      <c r="C24" t="str">
        <f>'[1]Room list'!A24</f>
        <v>TV room</v>
      </c>
    </row>
    <row r="25" spans="3:7" x14ac:dyDescent="0.2">
      <c r="C25" t="str">
        <f>'[1]Room list'!A25</f>
        <v>Walk-in Closet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140B2D1-844D-5441-A204-821F16DB4F8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2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HeadingPairs>
  <TitlesOfParts>
    <vt:vector size="8" baseType="lpstr">
      <vt:lpstr>customer</vt:lpstr>
      <vt:lpstr>List</vt:lpstr>
      <vt:lpstr>Ceiling</vt:lpstr>
      <vt:lpstr>door</vt:lpstr>
      <vt:lpstr>Finish</vt:lpstr>
      <vt:lpstr>Finishpainting</vt:lpstr>
      <vt:lpstr>Primer</vt:lpstr>
      <vt:lpstr>Roomlist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Qiduo He</dc:creator>
  <cp:lastModifiedBy>Qiduo He</cp:lastModifiedBy>
  <cp:lastPrinted>2025-10-20T00:34:33Z</cp:lastPrinted>
  <dcterms:created xsi:type="dcterms:W3CDTF">2025-10-19T21:02:31Z</dcterms:created>
  <dcterms:modified xsi:type="dcterms:W3CDTF">2025-11-14T03:07:08Z</dcterms:modified>
</cp:coreProperties>
</file>