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rinkarojas/Documents/GREENTECH PAINTING INC./SUSTAINABLE INNITIATIVES/CLIENTS ENVIRO STATISTICS TOOL/"/>
    </mc:Choice>
  </mc:AlternateContent>
  <xr:revisionPtr revIDLastSave="0" documentId="13_ncr:1_{2588A5E1-DA04-9C45-B9FF-ECA1B4F91B7F}" xr6:coauthVersionLast="47" xr6:coauthVersionMax="47" xr10:uidLastSave="{00000000-0000-0000-0000-000000000000}"/>
  <bookViews>
    <workbookView xWindow="4880" yWindow="500" windowWidth="32900" windowHeight="21940" activeTab="2" xr2:uid="{78089048-1DD6-4222-9C92-C5C7FEAD3A42}"/>
  </bookViews>
  <sheets>
    <sheet name="Paints" sheetId="1" r:id="rId1"/>
    <sheet name="Trees" sheetId="2" r:id="rId2"/>
    <sheet name="Water-Original" sheetId="4" r:id="rId3"/>
    <sheet name="Water-washing machin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D26" i="4"/>
  <c r="B26" i="4"/>
  <c r="K14" i="4"/>
  <c r="I14" i="4"/>
  <c r="D14" i="4"/>
  <c r="L5" i="4"/>
  <c r="K5" i="4"/>
  <c r="J5" i="4"/>
  <c r="I5" i="4"/>
  <c r="I12" i="4" s="1"/>
  <c r="I15" i="4" s="1"/>
  <c r="I16" i="4" s="1"/>
  <c r="H18" i="4" s="1"/>
  <c r="E5" i="4"/>
  <c r="D5" i="4"/>
  <c r="C5" i="4"/>
  <c r="B5" i="4"/>
  <c r="B12" i="4" s="1"/>
  <c r="B15" i="4" s="1"/>
  <c r="B16" i="4" s="1"/>
  <c r="A18" i="4" s="1"/>
  <c r="D16" i="3"/>
  <c r="F6" i="2"/>
  <c r="D6" i="2"/>
  <c r="F5" i="2"/>
  <c r="F3" i="2"/>
  <c r="F4" i="2"/>
  <c r="F2" i="2"/>
  <c r="K14" i="3"/>
  <c r="I14" i="3"/>
  <c r="B26" i="3"/>
  <c r="D26" i="3"/>
  <c r="D14" i="3"/>
  <c r="E5" i="3"/>
  <c r="F13" i="1"/>
  <c r="H13" i="1" s="1"/>
  <c r="L5" i="3"/>
  <c r="K5" i="3"/>
  <c r="J5" i="3"/>
  <c r="I5" i="3"/>
  <c r="I12" i="3" s="1"/>
  <c r="I15" i="3" s="1"/>
  <c r="I16" i="3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36" i="1"/>
  <c r="H36" i="1" s="1"/>
  <c r="D4" i="2"/>
  <c r="D3" i="2"/>
  <c r="C5" i="3"/>
  <c r="B5" i="3"/>
  <c r="B24" i="3" s="1"/>
  <c r="B27" i="3" s="1"/>
  <c r="B28" i="3" s="1"/>
  <c r="A30" i="3" s="1"/>
  <c r="D5" i="3"/>
  <c r="D2" i="2"/>
  <c r="F35" i="1"/>
  <c r="F14" i="1"/>
  <c r="H14" i="1" s="1"/>
  <c r="F15" i="1"/>
  <c r="H15" i="1" s="1"/>
  <c r="F16" i="1"/>
  <c r="H16" i="1" s="1"/>
  <c r="F17" i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H3" i="1"/>
  <c r="H4" i="1"/>
  <c r="H5" i="1"/>
  <c r="H6" i="1"/>
  <c r="H7" i="1"/>
  <c r="H8" i="1"/>
  <c r="H9" i="1"/>
  <c r="H10" i="1"/>
  <c r="H11" i="1"/>
  <c r="H12" i="1"/>
  <c r="H17" i="1"/>
  <c r="H35" i="1"/>
  <c r="B24" i="4" l="1"/>
  <c r="B27" i="4" s="1"/>
  <c r="B28" i="4" s="1"/>
  <c r="A30" i="4" s="1"/>
  <c r="D24" i="4"/>
  <c r="D27" i="4" s="1"/>
  <c r="D28" i="4" s="1"/>
  <c r="C30" i="4" s="1"/>
  <c r="K12" i="4"/>
  <c r="K15" i="4" s="1"/>
  <c r="K16" i="4" s="1"/>
  <c r="J18" i="4" s="1"/>
  <c r="L18" i="4" s="1"/>
  <c r="M18" i="4" s="1"/>
  <c r="D12" i="4"/>
  <c r="D15" i="4" s="1"/>
  <c r="D16" i="4" s="1"/>
  <c r="C18" i="4" s="1"/>
  <c r="E18" i="4" s="1"/>
  <c r="F18" i="4" s="1"/>
  <c r="K12" i="3"/>
  <c r="K15" i="3" s="1"/>
  <c r="K16" i="3" s="1"/>
  <c r="J18" i="3" s="1"/>
  <c r="L18" i="3" s="1"/>
  <c r="M18" i="3" s="1"/>
  <c r="D24" i="3"/>
  <c r="D27" i="3" s="1"/>
  <c r="D28" i="3" s="1"/>
  <c r="C30" i="3" s="1"/>
  <c r="E30" i="3" s="1"/>
  <c r="D12" i="3"/>
  <c r="D15" i="3" s="1"/>
  <c r="B12" i="3"/>
  <c r="B15" i="3" s="1"/>
  <c r="B16" i="3" s="1"/>
  <c r="A18" i="3" s="1"/>
  <c r="D5" i="2"/>
  <c r="H43" i="1"/>
  <c r="H44" i="1" s="1"/>
  <c r="E30" i="4" l="1"/>
  <c r="F30" i="3"/>
  <c r="C18" i="3"/>
  <c r="E18" i="3" s="1"/>
  <c r="F18" i="3" s="1"/>
  <c r="A33" i="4" l="1"/>
  <c r="D33" i="4" s="1"/>
  <c r="F30" i="4"/>
  <c r="A33" i="3"/>
  <c r="D33" i="3" s="1"/>
</calcChain>
</file>

<file path=xl/sharedStrings.xml><?xml version="1.0" encoding="utf-8"?>
<sst xmlns="http://schemas.openxmlformats.org/spreadsheetml/2006/main" count="294" uniqueCount="105">
  <si>
    <t>Vendor</t>
  </si>
  <si>
    <t xml:space="preserve"> Description </t>
  </si>
  <si>
    <t>Sherwin Williams</t>
  </si>
  <si>
    <t>Benjamin Moore</t>
  </si>
  <si>
    <t xml:space="preserve">Waterborne Ceiling Paint White </t>
  </si>
  <si>
    <t>Corotech Command Acrylic Urethane Satin</t>
  </si>
  <si>
    <t xml:space="preserve">Stix Urethane Acrylic Primer White </t>
  </si>
  <si>
    <t>PVA Interior Latex Primer-Sealer</t>
  </si>
  <si>
    <t>ProMar 200 Zero VOC interior latex primer</t>
  </si>
  <si>
    <t>ProMar 400 Zero VOC Interior Latex Flat</t>
  </si>
  <si>
    <t>ProMar 200 Zero VOC Interior Latex Flat</t>
  </si>
  <si>
    <t>ProMar 200 HP Zero VOC Interior Acrylic Eg-Shel</t>
  </si>
  <si>
    <t>SuperPaint Air Purifying Technology Interior Acrylic Satin</t>
  </si>
  <si>
    <t>Scuff Tuff Interior Waterbased Enamel Matte</t>
  </si>
  <si>
    <t>Emeral Interior Latex Flat</t>
  </si>
  <si>
    <t>H&amp;C Colortop Waterbased Solid Color concrete stain</t>
  </si>
  <si>
    <t>SuperPaint Exterior Latex Flat</t>
  </si>
  <si>
    <t>Duration Exterior Acrylic Flat</t>
  </si>
  <si>
    <t>Loxon XP Waterproofing Masonary Coating-Flat</t>
  </si>
  <si>
    <t>Industrial Enamel HS Alyd Gloss Enamel</t>
  </si>
  <si>
    <t>Latitude Exterior Acrylic Flat Extra White</t>
  </si>
  <si>
    <t>ProIndustrial Waterborne Acrylc Dryfall Flat</t>
  </si>
  <si>
    <t>Alkyd Dryfall Flat</t>
  </si>
  <si>
    <t>ProIndustrial Multi-Surface Acrylic Matte</t>
  </si>
  <si>
    <t>Arborcoat Waterborne Exterior Stain Solid Color</t>
  </si>
  <si>
    <t>Coronado Rust Scat Polyurethane Interior Exterior Enamel</t>
  </si>
  <si>
    <t>Aura Bath &amp; Spa Waterborne interior paint &amp; primer Matte</t>
  </si>
  <si>
    <t>Aura Waterborne exterior Low Lustre</t>
  </si>
  <si>
    <t>Advance waterborne interior alkyd pearl</t>
  </si>
  <si>
    <t>UltraSpec 500 Interior Low Sheen Eggshel</t>
  </si>
  <si>
    <t>Regal Select Exterior High Build Low Lustre</t>
  </si>
  <si>
    <t>Regal Select Interior paint and primer Ulti-matte</t>
  </si>
  <si>
    <t>UltraSpec Scuff X Interior Pearl finish</t>
  </si>
  <si>
    <t>Step One Interior Latex Primer</t>
  </si>
  <si>
    <t>GraphenStone</t>
  </si>
  <si>
    <t xml:space="preserve">Grafclean </t>
  </si>
  <si>
    <t>Grafclean Exterior</t>
  </si>
  <si>
    <t>Grafclean Front</t>
  </si>
  <si>
    <t>Grafclean Midshine</t>
  </si>
  <si>
    <t>Zennature</t>
  </si>
  <si>
    <t xml:space="preserve">Firenzza - Decorative stucco </t>
  </si>
  <si>
    <t xml:space="preserve">Modena - Decorative stucco </t>
  </si>
  <si>
    <t>Siena interior paint</t>
  </si>
  <si>
    <t>Technical Life Scenario</t>
  </si>
  <si>
    <t>-</t>
  </si>
  <si>
    <t>Total CO2 saved</t>
  </si>
  <si>
    <t>ft2 painted</t>
  </si>
  <si>
    <t>CO2 saved per ft2</t>
  </si>
  <si>
    <t>Species of tree</t>
  </si>
  <si>
    <t>Quantity</t>
  </si>
  <si>
    <t>Oak</t>
  </si>
  <si>
    <t>CO2 absorbed per unit (kg/year)</t>
  </si>
  <si>
    <t>Area to paint in ft2</t>
  </si>
  <si>
    <t>ROLLER</t>
  </si>
  <si>
    <t>Time (min)</t>
  </si>
  <si>
    <t>Wasted water (L)</t>
  </si>
  <si>
    <t>GreenTech Method</t>
  </si>
  <si>
    <t>Area painted in one day (ft2)</t>
  </si>
  <si>
    <t>Times the roller is washed</t>
  </si>
  <si>
    <t>Total of times the roller is washed</t>
  </si>
  <si>
    <t>Total Water Saved (L)</t>
  </si>
  <si>
    <t xml:space="preserve">Water Saved </t>
  </si>
  <si>
    <t>BRUSH</t>
  </si>
  <si>
    <t>Area to paint in ft2 by brush</t>
  </si>
  <si>
    <t>Times the brush is washed</t>
  </si>
  <si>
    <t>Ceiling Area</t>
  </si>
  <si>
    <t xml:space="preserve">Baseboards and Trims </t>
  </si>
  <si>
    <t>Doors</t>
  </si>
  <si>
    <t xml:space="preserve">Number of Colors </t>
  </si>
  <si>
    <t xml:space="preserve">Data Entry </t>
  </si>
  <si>
    <t xml:space="preserve">Wall Area </t>
  </si>
  <si>
    <t>Units</t>
  </si>
  <si>
    <t>ft2</t>
  </si>
  <si>
    <t>qty</t>
  </si>
  <si>
    <t xml:space="preserve">Total Area </t>
  </si>
  <si>
    <t>ft</t>
  </si>
  <si>
    <t>SPRAYER</t>
  </si>
  <si>
    <t>Total of times the brush is washed</t>
  </si>
  <si>
    <t>Pine</t>
  </si>
  <si>
    <t xml:space="preserve">Maple </t>
  </si>
  <si>
    <t>Ecosphere</t>
  </si>
  <si>
    <t>Venetta - Decorative stucco (Stuki)</t>
  </si>
  <si>
    <t>REGULAR METHOD</t>
  </si>
  <si>
    <t>METHOD WITH SPRAYER</t>
  </si>
  <si>
    <t>% of Water Saved</t>
  </si>
  <si>
    <t xml:space="preserve">Total % of Water Saved </t>
  </si>
  <si>
    <t>Traditional Method</t>
  </si>
  <si>
    <t>Area painted by an unwashed brush (ft2, 1 day)</t>
  </si>
  <si>
    <t>Area painted by an unwashed roller (ft2, 1 day)</t>
  </si>
  <si>
    <t>Area painted by an unwashed roller (ft2, 5 days)</t>
  </si>
  <si>
    <t>Painted area without machine washing (ft2, 1 day)</t>
  </si>
  <si>
    <t>Painted area without machine washing (ft2, 3 days)</t>
  </si>
  <si>
    <t>Average lifetime</t>
  </si>
  <si>
    <t xml:space="preserve"> CO2 absorbed (kg/year)</t>
  </si>
  <si>
    <t xml:space="preserve"> CO2 absorbed during lifetime</t>
  </si>
  <si>
    <t>The result indicates the amount of CO2 that is prevented from being released into the atmosphere.</t>
  </si>
  <si>
    <t>Total CO2 absorbed during lifetime (kg)</t>
  </si>
  <si>
    <t>TOTAL CO2 absorbed per year (kg)</t>
  </si>
  <si>
    <t>TOTAL CO2 absorbed per year (ton)</t>
  </si>
  <si>
    <t>Total CO2 absorbed during lifetime (ton)</t>
  </si>
  <si>
    <t>Market Life Scenario</t>
  </si>
  <si>
    <t>GWP  (kg CO2 per m2)</t>
  </si>
  <si>
    <t>Average CO2 generated by a regular paint (kg/m2)</t>
  </si>
  <si>
    <t>TOTAL CO2 SAVED in ton per project</t>
  </si>
  <si>
    <t xml:space="preserve">TOTAL CO2 SAVED in Kg per project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</si>
</sst>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/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2" borderId="16" xfId="0" applyFill="1" applyBorder="1" applyAlignment="1">
      <alignment horizontal="center"/>
    </xf>
    <xf numFmtId="2" fontId="1" fillId="0" borderId="0" xfId="0" applyNumberFormat="1" applyFont="1"/>
    <xf numFmtId="0" fontId="0" fillId="2" borderId="9" xfId="0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wrapText="1"/>
    </xf>
    <xf numFmtId="0" fontId="0" fillId="0" borderId="22" xfId="0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0" fillId="4" borderId="1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0" fillId="4" borderId="14" xfId="0" applyFill="1" applyBorder="1" applyAlignment="1">
      <alignment horizontal="center" vertical="top"/>
    </xf>
    <xf numFmtId="9" fontId="0" fillId="4" borderId="15" xfId="1" applyFont="1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2" fontId="3" fillId="4" borderId="12" xfId="0" applyNumberFormat="1" applyFont="1" applyFill="1" applyBorder="1" applyAlignment="1">
      <alignment horizontal="center"/>
    </xf>
    <xf numFmtId="165" fontId="3" fillId="4" borderId="12" xfId="0" applyNumberFormat="1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9" fontId="3" fillId="4" borderId="5" xfId="1" applyFont="1" applyFill="1" applyBorder="1" applyAlignment="1">
      <alignment horizontal="center"/>
    </xf>
    <xf numFmtId="9" fontId="3" fillId="4" borderId="20" xfId="1" applyFont="1" applyFill="1" applyBorder="1" applyAlignment="1">
      <alignment horizontal="center"/>
    </xf>
    <xf numFmtId="9" fontId="3" fillId="4" borderId="6" xfId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3" fillId="3" borderId="19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BE58E-1450-4BE4-8EC5-E2892597A833}" name="Table_Paint_Unified" displayName="Table_Paint_Unified" ref="A2:H42" totalsRowShown="0" headerRowDxfId="9" dataDxfId="8">
  <autoFilter ref="A2:H42" xr:uid="{F58610DD-66DB-4D7D-9318-8C8E0DBB33E3}"/>
  <sortState xmlns:xlrd2="http://schemas.microsoft.com/office/spreadsheetml/2017/richdata2" ref="A3:B32">
    <sortCondition ref="A3:A32"/>
    <sortCondition ref="B3:B32"/>
  </sortState>
  <tableColumns count="8">
    <tableColumn id="1" xr3:uid="{8C06414F-2E57-45D0-B1B9-5D19D803301E}" name="Vendor" dataDxfId="7"/>
    <tableColumn id="3" xr3:uid="{0916A274-BFD3-403C-9705-38BA897CE204}" name=" Description " dataDxfId="6"/>
    <tableColumn id="2" xr3:uid="{D230F1BA-681B-4CDC-AE26-5E6A48E358E5}" name="Technical Life Scenario" dataDxfId="5"/>
    <tableColumn id="5" xr3:uid="{39252681-C84C-4D64-9FC9-25DDC68C83D1}" name="Market Life Scenario" dataDxfId="4"/>
    <tableColumn id="4" xr3:uid="{7A852EA7-C9BE-40F4-911C-ECD677B64824}" name="Average CO2 generated by a regular paint (kg/m2)" dataDxfId="3"/>
    <tableColumn id="6" xr3:uid="{95F3F152-68AC-4DC2-B97A-00AF3CE5395E}" name="CO2 saved per ft2" dataDxfId="2">
      <calculatedColumnFormula>Table_Paint_Unified[[#This Row],[Average CO2 generated by a regular paint (kg/m2)]]-Table_Paint_Unified[[#This Row],[Market Life Scenario]]</calculatedColumnFormula>
    </tableColumn>
    <tableColumn id="7" xr3:uid="{C59399D4-534E-424E-A1D1-7FB280FB47E0}" name="ft2 painted" dataDxfId="1"/>
    <tableColumn id="8" xr3:uid="{D5B06BCF-A038-4FE3-A5FA-183C82A2E7B3}" name="Total CO2 saved" dataDxfId="0">
      <calculatedColumnFormula>Table_Paint_Unified[[#This Row],[ft2 painted]]*Table_Paint_Unified[[#This Row],[CO2 saved per ft2]]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0A4F-869B-49CC-AB84-267429908C0C}">
  <sheetPr codeName="Sheet11"/>
  <dimension ref="A1:M44"/>
  <sheetViews>
    <sheetView showGridLines="0" zoomScale="69" zoomScaleNormal="48" workbookViewId="0">
      <selection activeCell="L36" sqref="L36"/>
    </sheetView>
  </sheetViews>
  <sheetFormatPr baseColWidth="10" defaultColWidth="8.83203125" defaultRowHeight="15" x14ac:dyDescent="0.2"/>
  <cols>
    <col min="1" max="1" width="25.6640625" customWidth="1"/>
    <col min="2" max="2" width="60.6640625" customWidth="1"/>
    <col min="3" max="3" width="17.5" customWidth="1"/>
    <col min="4" max="4" width="15.33203125" customWidth="1"/>
    <col min="5" max="5" width="17.5" customWidth="1"/>
    <col min="6" max="6" width="15.6640625" customWidth="1"/>
    <col min="7" max="7" width="13.6640625" customWidth="1"/>
    <col min="8" max="8" width="16.33203125" customWidth="1"/>
  </cols>
  <sheetData>
    <row r="1" spans="1:13" x14ac:dyDescent="0.2">
      <c r="C1" s="56" t="s">
        <v>101</v>
      </c>
      <c r="D1" s="56"/>
    </row>
    <row r="2" spans="1:13" ht="48" x14ac:dyDescent="0.2">
      <c r="A2" s="27" t="s">
        <v>0</v>
      </c>
      <c r="B2" s="27" t="s">
        <v>1</v>
      </c>
      <c r="C2" s="28" t="s">
        <v>43</v>
      </c>
      <c r="D2" s="28" t="s">
        <v>100</v>
      </c>
      <c r="E2" s="28" t="s">
        <v>102</v>
      </c>
      <c r="F2" s="27" t="s">
        <v>47</v>
      </c>
      <c r="G2" s="27" t="s">
        <v>46</v>
      </c>
      <c r="H2" s="27" t="s">
        <v>45</v>
      </c>
    </row>
    <row r="3" spans="1:13" x14ac:dyDescent="0.2">
      <c r="A3" s="1" t="s">
        <v>3</v>
      </c>
      <c r="B3" s="18" t="s">
        <v>28</v>
      </c>
      <c r="C3" s="1"/>
      <c r="D3" s="1"/>
      <c r="E3" s="1">
        <v>6.6</v>
      </c>
      <c r="F3" s="1"/>
      <c r="G3" s="15">
        <v>0</v>
      </c>
      <c r="H3" s="23">
        <f>Table_Paint_Unified[[#This Row],[ft2 painted]]*Table_Paint_Unified[[#This Row],[CO2 saved per ft2]]</f>
        <v>0</v>
      </c>
    </row>
    <row r="4" spans="1:13" x14ac:dyDescent="0.2">
      <c r="A4" s="1" t="s">
        <v>3</v>
      </c>
      <c r="B4" s="18" t="s">
        <v>24</v>
      </c>
      <c r="C4" s="1"/>
      <c r="D4" s="1"/>
      <c r="E4" s="1">
        <v>6.6</v>
      </c>
      <c r="F4" s="1"/>
      <c r="G4" s="15">
        <v>0</v>
      </c>
      <c r="H4" s="23">
        <f>Table_Paint_Unified[[#This Row],[ft2 painted]]*Table_Paint_Unified[[#This Row],[CO2 saved per ft2]]</f>
        <v>0</v>
      </c>
    </row>
    <row r="5" spans="1:13" x14ac:dyDescent="0.2">
      <c r="A5" s="1" t="s">
        <v>3</v>
      </c>
      <c r="B5" s="18" t="s">
        <v>26</v>
      </c>
      <c r="C5" s="1"/>
      <c r="D5" s="1"/>
      <c r="E5" s="1">
        <v>6.6</v>
      </c>
      <c r="F5" s="1"/>
      <c r="G5" s="15">
        <v>0</v>
      </c>
      <c r="H5" s="23">
        <f>Table_Paint_Unified[[#This Row],[ft2 painted]]*Table_Paint_Unified[[#This Row],[CO2 saved per ft2]]</f>
        <v>0</v>
      </c>
    </row>
    <row r="6" spans="1:13" x14ac:dyDescent="0.2">
      <c r="A6" s="1" t="s">
        <v>3</v>
      </c>
      <c r="B6" s="18" t="s">
        <v>27</v>
      </c>
      <c r="C6" s="1"/>
      <c r="D6" s="1"/>
      <c r="E6" s="1">
        <v>6.6</v>
      </c>
      <c r="F6" s="1"/>
      <c r="G6" s="15">
        <v>0</v>
      </c>
      <c r="H6" s="23">
        <f>Table_Paint_Unified[[#This Row],[ft2 painted]]*Table_Paint_Unified[[#This Row],[CO2 saved per ft2]]</f>
        <v>0</v>
      </c>
    </row>
    <row r="7" spans="1:13" x14ac:dyDescent="0.2">
      <c r="A7" s="1" t="s">
        <v>3</v>
      </c>
      <c r="B7" s="18" t="s">
        <v>25</v>
      </c>
      <c r="C7" s="1"/>
      <c r="D7" s="1"/>
      <c r="E7" s="1">
        <v>6.6</v>
      </c>
      <c r="F7" s="1"/>
      <c r="G7" s="15">
        <v>0</v>
      </c>
      <c r="H7" s="23">
        <f>Table_Paint_Unified[[#This Row],[ft2 painted]]*Table_Paint_Unified[[#This Row],[CO2 saved per ft2]]</f>
        <v>0</v>
      </c>
    </row>
    <row r="8" spans="1:13" x14ac:dyDescent="0.2">
      <c r="A8" s="1" t="s">
        <v>3</v>
      </c>
      <c r="B8" s="18" t="s">
        <v>5</v>
      </c>
      <c r="C8" s="1"/>
      <c r="D8" s="1"/>
      <c r="E8" s="1">
        <v>6.6</v>
      </c>
      <c r="F8" s="1"/>
      <c r="G8" s="15">
        <v>0</v>
      </c>
      <c r="H8" s="23">
        <f>Table_Paint_Unified[[#This Row],[ft2 painted]]*Table_Paint_Unified[[#This Row],[CO2 saved per ft2]]</f>
        <v>0</v>
      </c>
    </row>
    <row r="9" spans="1:13" x14ac:dyDescent="0.2">
      <c r="A9" s="1" t="s">
        <v>3</v>
      </c>
      <c r="B9" s="18" t="s">
        <v>30</v>
      </c>
      <c r="C9" s="1"/>
      <c r="D9" s="1"/>
      <c r="E9" s="1">
        <v>6.6</v>
      </c>
      <c r="F9" s="1"/>
      <c r="G9" s="15">
        <v>0</v>
      </c>
      <c r="H9" s="23">
        <f>Table_Paint_Unified[[#This Row],[ft2 painted]]*Table_Paint_Unified[[#This Row],[CO2 saved per ft2]]</f>
        <v>0</v>
      </c>
    </row>
    <row r="10" spans="1:13" x14ac:dyDescent="0.2">
      <c r="A10" s="1" t="s">
        <v>3</v>
      </c>
      <c r="B10" s="18" t="s">
        <v>31</v>
      </c>
      <c r="C10" s="1"/>
      <c r="D10" s="1"/>
      <c r="E10" s="1">
        <v>6.6</v>
      </c>
      <c r="F10" s="1"/>
      <c r="G10" s="15">
        <v>0</v>
      </c>
      <c r="H10" s="23">
        <f>Table_Paint_Unified[[#This Row],[ft2 painted]]*Table_Paint_Unified[[#This Row],[CO2 saved per ft2]]</f>
        <v>0</v>
      </c>
    </row>
    <row r="11" spans="1:13" x14ac:dyDescent="0.2">
      <c r="A11" s="1" t="s">
        <v>3</v>
      </c>
      <c r="B11" s="18" t="s">
        <v>33</v>
      </c>
      <c r="C11" s="1"/>
      <c r="D11" s="1"/>
      <c r="E11" s="1">
        <v>6.6</v>
      </c>
      <c r="F11" s="1"/>
      <c r="G11" s="15">
        <v>0</v>
      </c>
      <c r="H11" s="23">
        <f>Table_Paint_Unified[[#This Row],[ft2 painted]]*Table_Paint_Unified[[#This Row],[CO2 saved per ft2]]</f>
        <v>0</v>
      </c>
    </row>
    <row r="12" spans="1:13" x14ac:dyDescent="0.2">
      <c r="A12" s="1" t="s">
        <v>3</v>
      </c>
      <c r="B12" s="18" t="s">
        <v>6</v>
      </c>
      <c r="C12" s="1"/>
      <c r="D12" s="1"/>
      <c r="E12" s="1">
        <v>6.6</v>
      </c>
      <c r="F12" s="1"/>
      <c r="G12" s="15">
        <v>0</v>
      </c>
      <c r="H12" s="23">
        <f>Table_Paint_Unified[[#This Row],[ft2 painted]]*Table_Paint_Unified[[#This Row],[CO2 saved per ft2]]</f>
        <v>0</v>
      </c>
    </row>
    <row r="13" spans="1:13" x14ac:dyDescent="0.2">
      <c r="A13" s="1" t="s">
        <v>3</v>
      </c>
      <c r="B13" s="1" t="s">
        <v>29</v>
      </c>
      <c r="C13" s="23">
        <v>0.78900000000000003</v>
      </c>
      <c r="D13" s="1">
        <v>2.37</v>
      </c>
      <c r="E13" s="1">
        <v>6.6</v>
      </c>
      <c r="F13" s="2">
        <f>(Table_Paint_Unified[[#This Row],[Average CO2 generated by a regular paint (kg/m2)]]-Table_Paint_Unified[[#This Row],[Market Life Scenario]])/10.76</f>
        <v>0.39312267657992561</v>
      </c>
      <c r="G13" s="15">
        <v>2500</v>
      </c>
      <c r="H13" s="23">
        <f>Table_Paint_Unified[[#This Row],[ft2 painted]]*Table_Paint_Unified[[#This Row],[CO2 saved per ft2]]</f>
        <v>982.80669144981402</v>
      </c>
    </row>
    <row r="14" spans="1:13" x14ac:dyDescent="0.2">
      <c r="A14" s="1" t="s">
        <v>3</v>
      </c>
      <c r="B14" s="1" t="s">
        <v>32</v>
      </c>
      <c r="C14" s="23">
        <v>2.0430000000000001</v>
      </c>
      <c r="D14" s="23">
        <v>6.1189999999999998</v>
      </c>
      <c r="E14" s="1">
        <v>6.6</v>
      </c>
      <c r="F14" s="2">
        <f>(Table_Paint_Unified[[#This Row],[Average CO2 generated by a regular paint (kg/m2)]]-Table_Paint_Unified[[#This Row],[Market Life Scenario]])/10.76</f>
        <v>4.4702602230483258E-2</v>
      </c>
      <c r="G14" s="15">
        <v>800</v>
      </c>
      <c r="H14" s="23">
        <f>Table_Paint_Unified[[#This Row],[ft2 painted]]*Table_Paint_Unified[[#This Row],[CO2 saved per ft2]]</f>
        <v>35.762081784386609</v>
      </c>
    </row>
    <row r="15" spans="1:13" x14ac:dyDescent="0.2">
      <c r="A15" s="1" t="s">
        <v>3</v>
      </c>
      <c r="B15" s="18" t="s">
        <v>4</v>
      </c>
      <c r="C15" s="1"/>
      <c r="D15" s="1"/>
      <c r="E15" s="1">
        <v>6.6</v>
      </c>
      <c r="F15" s="2">
        <f>(Table_Paint_Unified[[#This Row],[Average CO2 generated by a regular paint (kg/m2)]]-Table_Paint_Unified[[#This Row],[Market Life Scenario]])/10.76</f>
        <v>0.61338289962825276</v>
      </c>
      <c r="G15" s="15">
        <v>0</v>
      </c>
      <c r="H15" s="23">
        <f>Table_Paint_Unified[[#This Row],[ft2 painted]]*Table_Paint_Unified[[#This Row],[CO2 saved per ft2]]</f>
        <v>0</v>
      </c>
    </row>
    <row r="16" spans="1:13" x14ac:dyDescent="0.2">
      <c r="A16" s="1" t="s">
        <v>2</v>
      </c>
      <c r="B16" s="1" t="s">
        <v>22</v>
      </c>
      <c r="C16" s="1">
        <v>2.41</v>
      </c>
      <c r="D16" s="1">
        <v>2.9</v>
      </c>
      <c r="E16" s="1">
        <v>6.6</v>
      </c>
      <c r="F16" s="2">
        <f>(Table_Paint_Unified[[#This Row],[Average CO2 generated by a regular paint (kg/m2)]]-Table_Paint_Unified[[#This Row],[Market Life Scenario]])/10.76</f>
        <v>0.34386617100371747</v>
      </c>
      <c r="G16" s="15">
        <v>0</v>
      </c>
      <c r="H16" s="23">
        <f>Table_Paint_Unified[[#This Row],[ft2 painted]]*Table_Paint_Unified[[#This Row],[CO2 saved per ft2]]</f>
        <v>0</v>
      </c>
      <c r="I16" s="55" t="s">
        <v>95</v>
      </c>
      <c r="J16" s="55"/>
      <c r="K16" s="55"/>
      <c r="L16" s="55"/>
      <c r="M16" s="55"/>
    </row>
    <row r="17" spans="1:13" x14ac:dyDescent="0.2">
      <c r="A17" s="1" t="s">
        <v>2</v>
      </c>
      <c r="B17" s="1" t="s">
        <v>17</v>
      </c>
      <c r="C17" s="1">
        <v>1.1000000000000001</v>
      </c>
      <c r="D17" s="1">
        <v>3.09</v>
      </c>
      <c r="E17" s="1">
        <v>6.6</v>
      </c>
      <c r="F17" s="2">
        <f>(Table_Paint_Unified[[#This Row],[Average CO2 generated by a regular paint (kg/m2)]]-Table_Paint_Unified[[#This Row],[Market Life Scenario]])/10.76</f>
        <v>0.32620817843866168</v>
      </c>
      <c r="G17" s="15">
        <v>0</v>
      </c>
      <c r="H17" s="23">
        <f>Table_Paint_Unified[[#This Row],[ft2 painted]]*Table_Paint_Unified[[#This Row],[CO2 saved per ft2]]</f>
        <v>0</v>
      </c>
      <c r="I17" s="55"/>
      <c r="J17" s="55"/>
      <c r="K17" s="55"/>
      <c r="L17" s="55"/>
      <c r="M17" s="55"/>
    </row>
    <row r="18" spans="1:13" x14ac:dyDescent="0.2">
      <c r="A18" s="1" t="s">
        <v>2</v>
      </c>
      <c r="B18" s="1" t="s">
        <v>14</v>
      </c>
      <c r="C18" s="1">
        <v>1.04</v>
      </c>
      <c r="D18" s="1">
        <v>3.13</v>
      </c>
      <c r="E18" s="1">
        <v>6.6</v>
      </c>
      <c r="F18" s="2">
        <f>(Table_Paint_Unified[[#This Row],[Average CO2 generated by a regular paint (kg/m2)]]-Table_Paint_Unified[[#This Row],[Market Life Scenario]])/10.76</f>
        <v>0.32249070631970256</v>
      </c>
      <c r="G18" s="15">
        <v>0</v>
      </c>
      <c r="H18" s="23">
        <f>Table_Paint_Unified[[#This Row],[ft2 painted]]*Table_Paint_Unified[[#This Row],[CO2 saved per ft2]]</f>
        <v>0</v>
      </c>
      <c r="I18" s="55"/>
      <c r="J18" s="55"/>
      <c r="K18" s="55"/>
      <c r="L18" s="55"/>
      <c r="M18" s="55"/>
    </row>
    <row r="19" spans="1:13" x14ac:dyDescent="0.2">
      <c r="A19" s="1" t="s">
        <v>2</v>
      </c>
      <c r="B19" s="1" t="s">
        <v>15</v>
      </c>
      <c r="C19" s="1">
        <v>2.38</v>
      </c>
      <c r="D19" s="1">
        <v>4.76</v>
      </c>
      <c r="E19" s="1">
        <v>6.6</v>
      </c>
      <c r="F19" s="2">
        <f>(Table_Paint_Unified[[#This Row],[Average CO2 generated by a regular paint (kg/m2)]]-Table_Paint_Unified[[#This Row],[Market Life Scenario]])/10.76</f>
        <v>0.17100371747211895</v>
      </c>
      <c r="G19" s="15">
        <v>0</v>
      </c>
      <c r="H19" s="23">
        <f>Table_Paint_Unified[[#This Row],[ft2 painted]]*Table_Paint_Unified[[#This Row],[CO2 saved per ft2]]</f>
        <v>0</v>
      </c>
      <c r="I19" s="55"/>
      <c r="J19" s="55"/>
      <c r="K19" s="55"/>
      <c r="L19" s="55"/>
      <c r="M19" s="55"/>
    </row>
    <row r="20" spans="1:13" x14ac:dyDescent="0.2">
      <c r="A20" s="1" t="s">
        <v>2</v>
      </c>
      <c r="B20" s="1" t="s">
        <v>19</v>
      </c>
      <c r="C20" s="1">
        <v>3.07</v>
      </c>
      <c r="D20" s="1">
        <v>6.14</v>
      </c>
      <c r="E20" s="1">
        <v>6.6</v>
      </c>
      <c r="F20" s="2">
        <f>(Table_Paint_Unified[[#This Row],[Average CO2 generated by a regular paint (kg/m2)]]-Table_Paint_Unified[[#This Row],[Market Life Scenario]])/10.76</f>
        <v>4.2750929368029739E-2</v>
      </c>
      <c r="G20" s="15">
        <v>0</v>
      </c>
      <c r="H20" s="23">
        <f>Table_Paint_Unified[[#This Row],[ft2 painted]]*Table_Paint_Unified[[#This Row],[CO2 saved per ft2]]</f>
        <v>0</v>
      </c>
      <c r="I20" s="55"/>
      <c r="J20" s="55"/>
      <c r="K20" s="55"/>
      <c r="L20" s="55"/>
      <c r="M20" s="55"/>
    </row>
    <row r="21" spans="1:13" x14ac:dyDescent="0.2">
      <c r="A21" s="1" t="s">
        <v>2</v>
      </c>
      <c r="B21" s="1" t="s">
        <v>20</v>
      </c>
      <c r="C21" s="1">
        <v>2.58</v>
      </c>
      <c r="D21" s="1">
        <v>1.56</v>
      </c>
      <c r="E21" s="1">
        <v>6.6</v>
      </c>
      <c r="F21" s="2">
        <f>(Table_Paint_Unified[[#This Row],[Average CO2 generated by a regular paint (kg/m2)]]-Table_Paint_Unified[[#This Row],[Market Life Scenario]])/10.76</f>
        <v>0.46840148698884754</v>
      </c>
      <c r="G21" s="15">
        <v>0</v>
      </c>
      <c r="H21" s="23">
        <f>Table_Paint_Unified[[#This Row],[ft2 painted]]*Table_Paint_Unified[[#This Row],[CO2 saved per ft2]]</f>
        <v>0</v>
      </c>
      <c r="I21" s="55"/>
      <c r="J21" s="55"/>
      <c r="K21" s="55"/>
      <c r="L21" s="55"/>
      <c r="M21" s="55"/>
    </row>
    <row r="22" spans="1:13" x14ac:dyDescent="0.2">
      <c r="A22" s="1" t="s">
        <v>2</v>
      </c>
      <c r="B22" s="1" t="s">
        <v>18</v>
      </c>
      <c r="C22" s="1">
        <v>2.0499999999999998</v>
      </c>
      <c r="D22" s="1">
        <v>2.0499999999999998</v>
      </c>
      <c r="E22" s="1">
        <v>6.6</v>
      </c>
      <c r="F22" s="2">
        <f>(Table_Paint_Unified[[#This Row],[Average CO2 generated by a regular paint (kg/m2)]]-Table_Paint_Unified[[#This Row],[Market Life Scenario]])/10.76</f>
        <v>0.42286245353159851</v>
      </c>
      <c r="G22" s="15">
        <v>0</v>
      </c>
      <c r="H22" s="23">
        <f>Table_Paint_Unified[[#This Row],[ft2 painted]]*Table_Paint_Unified[[#This Row],[CO2 saved per ft2]]</f>
        <v>0</v>
      </c>
      <c r="I22" s="55"/>
      <c r="J22" s="55"/>
      <c r="K22" s="55"/>
      <c r="L22" s="55"/>
      <c r="M22" s="55"/>
    </row>
    <row r="23" spans="1:13" x14ac:dyDescent="0.2">
      <c r="A23" s="1" t="s">
        <v>2</v>
      </c>
      <c r="B23" s="1" t="s">
        <v>23</v>
      </c>
      <c r="C23" s="1">
        <v>1.23</v>
      </c>
      <c r="D23" s="1">
        <v>2.83</v>
      </c>
      <c r="E23" s="1">
        <v>6.6</v>
      </c>
      <c r="F23" s="2">
        <f>(Table_Paint_Unified[[#This Row],[Average CO2 generated by a regular paint (kg/m2)]]-Table_Paint_Unified[[#This Row],[Market Life Scenario]])/10.76</f>
        <v>0.3503717472118959</v>
      </c>
      <c r="G23" s="15">
        <v>0</v>
      </c>
      <c r="H23" s="23">
        <f>Table_Paint_Unified[[#This Row],[ft2 painted]]*Table_Paint_Unified[[#This Row],[CO2 saved per ft2]]</f>
        <v>0</v>
      </c>
    </row>
    <row r="24" spans="1:13" x14ac:dyDescent="0.2">
      <c r="A24" s="1" t="s">
        <v>2</v>
      </c>
      <c r="B24" s="1" t="s">
        <v>21</v>
      </c>
      <c r="C24" s="1">
        <v>1.5</v>
      </c>
      <c r="D24" s="1">
        <v>4.5599999999999996</v>
      </c>
      <c r="E24" s="1">
        <v>6.6</v>
      </c>
      <c r="F24" s="2">
        <f>(Table_Paint_Unified[[#This Row],[Average CO2 generated by a regular paint (kg/m2)]]-Table_Paint_Unified[[#This Row],[Market Life Scenario]])/10.76</f>
        <v>0.1895910780669145</v>
      </c>
      <c r="G24" s="15">
        <v>0</v>
      </c>
      <c r="H24" s="23">
        <f>Table_Paint_Unified[[#This Row],[ft2 painted]]*Table_Paint_Unified[[#This Row],[CO2 saved per ft2]]</f>
        <v>0</v>
      </c>
    </row>
    <row r="25" spans="1:13" x14ac:dyDescent="0.2">
      <c r="A25" s="1" t="s">
        <v>2</v>
      </c>
      <c r="B25" s="1" t="s">
        <v>11</v>
      </c>
      <c r="C25" s="1">
        <v>1.1000000000000001</v>
      </c>
      <c r="D25" s="1">
        <v>3.18</v>
      </c>
      <c r="E25" s="1">
        <v>6.6</v>
      </c>
      <c r="F25" s="2">
        <f>(Table_Paint_Unified[[#This Row],[Average CO2 generated by a regular paint (kg/m2)]]-Table_Paint_Unified[[#This Row],[Market Life Scenario]])/10.76</f>
        <v>0.31784386617100369</v>
      </c>
      <c r="G25" s="15">
        <v>0</v>
      </c>
      <c r="H25" s="23">
        <f>Table_Paint_Unified[[#This Row],[ft2 painted]]*Table_Paint_Unified[[#This Row],[CO2 saved per ft2]]</f>
        <v>0</v>
      </c>
    </row>
    <row r="26" spans="1:13" x14ac:dyDescent="0.2">
      <c r="A26" s="1" t="s">
        <v>2</v>
      </c>
      <c r="B26" s="1" t="s">
        <v>10</v>
      </c>
      <c r="C26" s="1">
        <v>2.56</v>
      </c>
      <c r="D26" s="1">
        <v>3.28</v>
      </c>
      <c r="E26" s="1">
        <v>6.6</v>
      </c>
      <c r="F26" s="2">
        <f>(Table_Paint_Unified[[#This Row],[Average CO2 generated by a regular paint (kg/m2)]]-Table_Paint_Unified[[#This Row],[Market Life Scenario]])/10.76</f>
        <v>0.30855018587360594</v>
      </c>
      <c r="G26" s="15">
        <v>0</v>
      </c>
      <c r="H26" s="23">
        <f>Table_Paint_Unified[[#This Row],[ft2 painted]]*Table_Paint_Unified[[#This Row],[CO2 saved per ft2]]</f>
        <v>0</v>
      </c>
    </row>
    <row r="27" spans="1:13" x14ac:dyDescent="0.2">
      <c r="A27" s="1" t="s">
        <v>2</v>
      </c>
      <c r="B27" s="1" t="s">
        <v>8</v>
      </c>
      <c r="C27" s="1">
        <v>2.46</v>
      </c>
      <c r="D27" s="1">
        <v>3.49</v>
      </c>
      <c r="E27" s="1">
        <v>6.6</v>
      </c>
      <c r="F27" s="2">
        <f>(Table_Paint_Unified[[#This Row],[Average CO2 generated by a regular paint (kg/m2)]]-Table_Paint_Unified[[#This Row],[Market Life Scenario]])/10.76</f>
        <v>0.28903345724907059</v>
      </c>
      <c r="G27" s="15">
        <v>0</v>
      </c>
      <c r="H27" s="23">
        <f>Table_Paint_Unified[[#This Row],[ft2 painted]]*Table_Paint_Unified[[#This Row],[CO2 saved per ft2]]</f>
        <v>0</v>
      </c>
    </row>
    <row r="28" spans="1:13" x14ac:dyDescent="0.2">
      <c r="A28" s="1" t="s">
        <v>2</v>
      </c>
      <c r="B28" s="1" t="s">
        <v>9</v>
      </c>
      <c r="C28" s="1">
        <v>2.2200000000000002</v>
      </c>
      <c r="D28" s="1">
        <v>2.96</v>
      </c>
      <c r="E28" s="1">
        <v>6.6</v>
      </c>
      <c r="F28" s="2">
        <f>(Table_Paint_Unified[[#This Row],[Average CO2 generated by a regular paint (kg/m2)]]-Table_Paint_Unified[[#This Row],[Market Life Scenario]])/10.76</f>
        <v>0.33828996282527879</v>
      </c>
      <c r="G28" s="15">
        <v>0</v>
      </c>
      <c r="H28" s="23">
        <f>Table_Paint_Unified[[#This Row],[ft2 painted]]*Table_Paint_Unified[[#This Row],[CO2 saved per ft2]]</f>
        <v>0</v>
      </c>
    </row>
    <row r="29" spans="1:13" x14ac:dyDescent="0.2">
      <c r="A29" s="1" t="s">
        <v>2</v>
      </c>
      <c r="B29" s="1" t="s">
        <v>7</v>
      </c>
      <c r="C29" s="1"/>
      <c r="D29" s="1">
        <v>1.92</v>
      </c>
      <c r="E29" s="1">
        <v>6.6</v>
      </c>
      <c r="F29" s="2">
        <f>(Table_Paint_Unified[[#This Row],[Average CO2 generated by a regular paint (kg/m2)]]-Table_Paint_Unified[[#This Row],[Market Life Scenario]])/10.76</f>
        <v>0.43494423791821557</v>
      </c>
      <c r="G29" s="15">
        <v>0</v>
      </c>
      <c r="H29" s="23">
        <f>Table_Paint_Unified[[#This Row],[ft2 painted]]*Table_Paint_Unified[[#This Row],[CO2 saved per ft2]]</f>
        <v>0</v>
      </c>
    </row>
    <row r="30" spans="1:13" x14ac:dyDescent="0.2">
      <c r="A30" s="1" t="s">
        <v>2</v>
      </c>
      <c r="B30" s="1" t="s">
        <v>13</v>
      </c>
      <c r="C30" s="1">
        <v>2.15</v>
      </c>
      <c r="D30" s="1">
        <v>2.87</v>
      </c>
      <c r="E30" s="1">
        <v>6.6</v>
      </c>
      <c r="F30" s="2">
        <f>(Table_Paint_Unified[[#This Row],[Average CO2 generated by a regular paint (kg/m2)]]-Table_Paint_Unified[[#This Row],[Market Life Scenario]])/10.76</f>
        <v>0.34665427509293678</v>
      </c>
      <c r="G30" s="15">
        <v>0</v>
      </c>
      <c r="H30" s="23">
        <f>Table_Paint_Unified[[#This Row],[ft2 painted]]*Table_Paint_Unified[[#This Row],[CO2 saved per ft2]]</f>
        <v>0</v>
      </c>
    </row>
    <row r="31" spans="1:13" x14ac:dyDescent="0.2">
      <c r="A31" s="1" t="s">
        <v>2</v>
      </c>
      <c r="B31" s="1" t="s">
        <v>12</v>
      </c>
      <c r="C31" s="1">
        <v>1.22</v>
      </c>
      <c r="D31" s="1">
        <v>3.66</v>
      </c>
      <c r="E31" s="1">
        <v>6.6</v>
      </c>
      <c r="F31" s="2">
        <f>(Table_Paint_Unified[[#This Row],[Average CO2 generated by a regular paint (kg/m2)]]-Table_Paint_Unified[[#This Row],[Market Life Scenario]])/10.76</f>
        <v>0.27323420074349436</v>
      </c>
      <c r="G31" s="15">
        <v>0</v>
      </c>
      <c r="H31" s="23">
        <f>Table_Paint_Unified[[#This Row],[ft2 painted]]*Table_Paint_Unified[[#This Row],[CO2 saved per ft2]]</f>
        <v>0</v>
      </c>
    </row>
    <row r="32" spans="1:13" x14ac:dyDescent="0.2">
      <c r="A32" s="1" t="s">
        <v>2</v>
      </c>
      <c r="B32" s="1" t="s">
        <v>16</v>
      </c>
      <c r="C32" s="1">
        <v>2.36</v>
      </c>
      <c r="D32" s="1">
        <v>2.36</v>
      </c>
      <c r="E32" s="1">
        <v>6.6</v>
      </c>
      <c r="F32" s="2">
        <f>(Table_Paint_Unified[[#This Row],[Average CO2 generated by a regular paint (kg/m2)]]-Table_Paint_Unified[[#This Row],[Market Life Scenario]])/10.76</f>
        <v>0.39405204460966547</v>
      </c>
      <c r="G32" s="15">
        <v>0</v>
      </c>
      <c r="H32" s="23">
        <f>Table_Paint_Unified[[#This Row],[ft2 painted]]*Table_Paint_Unified[[#This Row],[CO2 saved per ft2]]</f>
        <v>0</v>
      </c>
    </row>
    <row r="33" spans="1:8" x14ac:dyDescent="0.2">
      <c r="A33" s="1" t="s">
        <v>34</v>
      </c>
      <c r="B33" s="1" t="s">
        <v>35</v>
      </c>
      <c r="C33" s="1">
        <v>0.62</v>
      </c>
      <c r="D33" s="1">
        <v>0.62</v>
      </c>
      <c r="E33" s="1">
        <v>6.6</v>
      </c>
      <c r="F33" s="2">
        <f>(Table_Paint_Unified[[#This Row],[Average CO2 generated by a regular paint (kg/m2)]]-Table_Paint_Unified[[#This Row],[Market Life Scenario]])/10.76</f>
        <v>0.55576208178438657</v>
      </c>
      <c r="G33" s="15">
        <v>0</v>
      </c>
      <c r="H33" s="23">
        <f>Table_Paint_Unified[[#This Row],[ft2 painted]]*Table_Paint_Unified[[#This Row],[CO2 saved per ft2]]</f>
        <v>0</v>
      </c>
    </row>
    <row r="34" spans="1:8" x14ac:dyDescent="0.2">
      <c r="A34" s="1" t="s">
        <v>34</v>
      </c>
      <c r="B34" s="1" t="s">
        <v>36</v>
      </c>
      <c r="C34" s="1">
        <v>0.28000000000000003</v>
      </c>
      <c r="D34" s="1">
        <v>0.27</v>
      </c>
      <c r="E34" s="1">
        <v>6.6</v>
      </c>
      <c r="F34" s="2">
        <f>(Table_Paint_Unified[[#This Row],[Average CO2 generated by a regular paint (kg/m2)]]-Table_Paint_Unified[[#This Row],[Market Life Scenario]])/10.76</f>
        <v>0.58828996282527879</v>
      </c>
      <c r="G34" s="15">
        <v>0</v>
      </c>
      <c r="H34" s="23">
        <f>Table_Paint_Unified[[#This Row],[ft2 painted]]*Table_Paint_Unified[[#This Row],[CO2 saved per ft2]]</f>
        <v>0</v>
      </c>
    </row>
    <row r="35" spans="1:8" x14ac:dyDescent="0.2">
      <c r="A35" s="1" t="s">
        <v>34</v>
      </c>
      <c r="B35" s="1" t="s">
        <v>37</v>
      </c>
      <c r="C35" s="1">
        <v>0.36</v>
      </c>
      <c r="D35" s="1">
        <v>0.35</v>
      </c>
      <c r="E35" s="1">
        <v>6.6</v>
      </c>
      <c r="F35" s="2">
        <f>(Table_Paint_Unified[[#This Row],[Average CO2 generated by a regular paint (kg/m2)]]-Table_Paint_Unified[[#This Row],[Market Life Scenario]])/10.76</f>
        <v>0.58085501858736066</v>
      </c>
      <c r="G35" s="15">
        <v>0</v>
      </c>
      <c r="H35" s="23">
        <f>Table_Paint_Unified[[#This Row],[ft2 painted]]*Table_Paint_Unified[[#This Row],[CO2 saved per ft2]]</f>
        <v>0</v>
      </c>
    </row>
    <row r="36" spans="1:8" x14ac:dyDescent="0.2">
      <c r="A36" s="1" t="s">
        <v>34</v>
      </c>
      <c r="B36" s="1" t="s">
        <v>38</v>
      </c>
      <c r="C36" s="1">
        <v>0.28000000000000003</v>
      </c>
      <c r="D36" s="1">
        <v>0.27</v>
      </c>
      <c r="E36" s="1">
        <v>6.6</v>
      </c>
      <c r="F36" s="2">
        <f>(Table_Paint_Unified[[#This Row],[Average CO2 generated by a regular paint (kg/m2)]]-Table_Paint_Unified[[#This Row],[Market Life Scenario]])/10.76</f>
        <v>0.58828996282527879</v>
      </c>
      <c r="G36" s="15">
        <v>0</v>
      </c>
      <c r="H36" s="23">
        <f>Table_Paint_Unified[[#This Row],[ft2 painted]]*Table_Paint_Unified[[#This Row],[CO2 saved per ft2]]</f>
        <v>0</v>
      </c>
    </row>
    <row r="37" spans="1:8" x14ac:dyDescent="0.2">
      <c r="A37" s="1" t="s">
        <v>34</v>
      </c>
      <c r="B37" s="18" t="s">
        <v>39</v>
      </c>
      <c r="C37" s="1" t="s">
        <v>44</v>
      </c>
      <c r="D37" s="1"/>
      <c r="E37" s="1">
        <v>6.6</v>
      </c>
      <c r="F37" s="2">
        <f>(Table_Paint_Unified[[#This Row],[Average CO2 generated by a regular paint (kg/m2)]]-Table_Paint_Unified[[#This Row],[Market Life Scenario]])/10.76</f>
        <v>0.61338289962825276</v>
      </c>
      <c r="G37" s="15">
        <v>0</v>
      </c>
      <c r="H37" s="23">
        <f>Table_Paint_Unified[[#This Row],[ft2 painted]]*Table_Paint_Unified[[#This Row],[CO2 saved per ft2]]</f>
        <v>0</v>
      </c>
    </row>
    <row r="38" spans="1:8" x14ac:dyDescent="0.2">
      <c r="A38" s="1" t="s">
        <v>34</v>
      </c>
      <c r="B38" s="1" t="s">
        <v>40</v>
      </c>
      <c r="C38" s="1">
        <v>4.47</v>
      </c>
      <c r="D38" s="1">
        <v>4.4400000000000004</v>
      </c>
      <c r="E38" s="1">
        <v>6.6</v>
      </c>
      <c r="F38" s="2">
        <f>(Table_Paint_Unified[[#This Row],[Average CO2 generated by a regular paint (kg/m2)]]-Table_Paint_Unified[[#This Row],[Market Life Scenario]])/10.76</f>
        <v>0.20074349442379175</v>
      </c>
      <c r="G38" s="15">
        <v>0</v>
      </c>
      <c r="H38" s="23">
        <f>Table_Paint_Unified[[#This Row],[ft2 painted]]*Table_Paint_Unified[[#This Row],[CO2 saved per ft2]]</f>
        <v>0</v>
      </c>
    </row>
    <row r="39" spans="1:8" x14ac:dyDescent="0.2">
      <c r="A39" s="1" t="s">
        <v>34</v>
      </c>
      <c r="B39" s="1" t="s">
        <v>41</v>
      </c>
      <c r="C39" s="1">
        <v>6.66</v>
      </c>
      <c r="D39" s="1">
        <v>6.59</v>
      </c>
      <c r="E39" s="1">
        <v>6.6</v>
      </c>
      <c r="F39" s="2">
        <f>(Table_Paint_Unified[[#This Row],[Average CO2 generated by a regular paint (kg/m2)]]-Table_Paint_Unified[[#This Row],[Market Life Scenario]])/10.76</f>
        <v>9.2936802973975718E-4</v>
      </c>
      <c r="G39" s="15">
        <v>0</v>
      </c>
      <c r="H39" s="23">
        <f>Table_Paint_Unified[[#This Row],[ft2 painted]]*Table_Paint_Unified[[#This Row],[CO2 saved per ft2]]</f>
        <v>0</v>
      </c>
    </row>
    <row r="40" spans="1:8" x14ac:dyDescent="0.2">
      <c r="A40" s="1" t="s">
        <v>34</v>
      </c>
      <c r="B40" s="1" t="s">
        <v>81</v>
      </c>
      <c r="C40" s="1">
        <v>0.22</v>
      </c>
      <c r="D40" s="1">
        <v>0.21</v>
      </c>
      <c r="E40" s="1">
        <v>6.6</v>
      </c>
      <c r="F40" s="2">
        <f>(Table_Paint_Unified[[#This Row],[Average CO2 generated by a regular paint (kg/m2)]]-Table_Paint_Unified[[#This Row],[Market Life Scenario]])/10.76</f>
        <v>0.59386617100371741</v>
      </c>
      <c r="G40" s="15">
        <v>0</v>
      </c>
      <c r="H40" s="23">
        <f>Table_Paint_Unified[[#This Row],[ft2 painted]]*Table_Paint_Unified[[#This Row],[CO2 saved per ft2]]</f>
        <v>0</v>
      </c>
    </row>
    <row r="41" spans="1:8" x14ac:dyDescent="0.2">
      <c r="A41" s="1" t="s">
        <v>34</v>
      </c>
      <c r="B41" s="1" t="s">
        <v>42</v>
      </c>
      <c r="C41" s="1">
        <v>0.24</v>
      </c>
      <c r="D41" s="1">
        <v>0.23</v>
      </c>
      <c r="E41" s="1">
        <v>6.6</v>
      </c>
      <c r="F41" s="2">
        <f>(Table_Paint_Unified[[#This Row],[Average CO2 generated by a regular paint (kg/m2)]]-Table_Paint_Unified[[#This Row],[Market Life Scenario]])/10.76</f>
        <v>0.59200743494423791</v>
      </c>
      <c r="G41" s="15">
        <v>0</v>
      </c>
      <c r="H41" s="23">
        <f>Table_Paint_Unified[[#This Row],[ft2 painted]]*Table_Paint_Unified[[#This Row],[CO2 saved per ft2]]</f>
        <v>0</v>
      </c>
    </row>
    <row r="42" spans="1:8" ht="16" thickBot="1" x14ac:dyDescent="0.25">
      <c r="A42" s="1" t="s">
        <v>34</v>
      </c>
      <c r="B42" s="1" t="s">
        <v>80</v>
      </c>
      <c r="C42" s="1">
        <v>0.17</v>
      </c>
      <c r="D42" s="1">
        <v>0.16</v>
      </c>
      <c r="E42" s="1">
        <v>6.6</v>
      </c>
      <c r="F42" s="2">
        <f>(Table_Paint_Unified[[#This Row],[Average CO2 generated by a regular paint (kg/m2)]]-Table_Paint_Unified[[#This Row],[Market Life Scenario]])/10.76</f>
        <v>0.59851301115241629</v>
      </c>
      <c r="G42" s="15">
        <v>0</v>
      </c>
      <c r="H42" s="23">
        <f>Table_Paint_Unified[[#This Row],[ft2 painted]]*Table_Paint_Unified[[#This Row],[CO2 saved per ft2]]</f>
        <v>0</v>
      </c>
    </row>
    <row r="43" spans="1:8" ht="16" thickBot="1" x14ac:dyDescent="0.25">
      <c r="F43" s="53" t="s">
        <v>104</v>
      </c>
      <c r="G43" s="54"/>
      <c r="H43" s="51">
        <f>SUM(H3:H42)</f>
        <v>1018.5687732342006</v>
      </c>
    </row>
    <row r="44" spans="1:8" ht="16" thickBot="1" x14ac:dyDescent="0.25">
      <c r="F44" s="53" t="s">
        <v>103</v>
      </c>
      <c r="G44" s="54"/>
      <c r="H44" s="52">
        <f>H43*0.001</f>
        <v>1.0185687732342006</v>
      </c>
    </row>
  </sheetData>
  <mergeCells count="4">
    <mergeCell ref="F43:G43"/>
    <mergeCell ref="F44:G44"/>
    <mergeCell ref="I16:M22"/>
    <mergeCell ref="C1:D1"/>
  </mergeCells>
  <phoneticPr fontId="2" type="noConversion"/>
  <pageMargins left="0.7" right="0.7" top="0.75" bottom="0.75" header="0.3" footer="0.3"/>
  <headerFooter>
    <oddHeader>&amp;C&amp;G</oddHeader>
    <oddFooter>&amp;C_x000D_&amp;1#&amp;"Calibri"&amp;10&amp;K000000 El contenido de este documento está clasificado como secreto empresarial y su acceso sólo está permitido a las personas autoriazadas.</oddFooter>
  </headerFooter>
  <legacyDrawingHF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9F03-863B-46ED-816E-A58159D6D46E}">
  <dimension ref="A1:F6"/>
  <sheetViews>
    <sheetView showGridLines="0" workbookViewId="0">
      <selection activeCell="F6" sqref="F6"/>
    </sheetView>
  </sheetViews>
  <sheetFormatPr baseColWidth="10" defaultColWidth="8.83203125" defaultRowHeight="15" x14ac:dyDescent="0.2"/>
  <cols>
    <col min="1" max="1" width="14.1640625" customWidth="1"/>
    <col min="2" max="2" width="10.83203125" customWidth="1"/>
    <col min="3" max="3" width="20.83203125" customWidth="1"/>
    <col min="4" max="4" width="17.6640625" customWidth="1"/>
    <col min="5" max="5" width="15.33203125" customWidth="1"/>
    <col min="6" max="6" width="18" customWidth="1"/>
  </cols>
  <sheetData>
    <row r="1" spans="1:6" ht="32" x14ac:dyDescent="0.2">
      <c r="A1" s="16" t="s">
        <v>48</v>
      </c>
      <c r="B1" s="16" t="s">
        <v>49</v>
      </c>
      <c r="C1" s="17" t="s">
        <v>51</v>
      </c>
      <c r="D1" s="17" t="s">
        <v>93</v>
      </c>
      <c r="E1" s="17" t="s">
        <v>92</v>
      </c>
      <c r="F1" s="17" t="s">
        <v>94</v>
      </c>
    </row>
    <row r="2" spans="1:6" x14ac:dyDescent="0.2">
      <c r="A2" s="9" t="s">
        <v>50</v>
      </c>
      <c r="B2" s="14">
        <v>3</v>
      </c>
      <c r="C2" s="9">
        <v>19</v>
      </c>
      <c r="D2" s="9">
        <f>B2*C2</f>
        <v>57</v>
      </c>
      <c r="E2" s="31">
        <v>300</v>
      </c>
      <c r="F2" s="31">
        <f>E2*D2</f>
        <v>17100</v>
      </c>
    </row>
    <row r="3" spans="1:6" x14ac:dyDescent="0.2">
      <c r="A3" s="9" t="s">
        <v>79</v>
      </c>
      <c r="B3" s="14">
        <v>1</v>
      </c>
      <c r="C3" s="9">
        <v>22</v>
      </c>
      <c r="D3" s="9">
        <f>C3*B3</f>
        <v>22</v>
      </c>
      <c r="E3" s="31">
        <v>200</v>
      </c>
      <c r="F3" s="31">
        <f t="shared" ref="F3:F4" si="0">E3*D3</f>
        <v>4400</v>
      </c>
    </row>
    <row r="4" spans="1:6" ht="16" thickBot="1" x14ac:dyDescent="0.25">
      <c r="A4" s="21" t="s">
        <v>78</v>
      </c>
      <c r="B4" s="22">
        <v>0</v>
      </c>
      <c r="C4" s="21">
        <v>14</v>
      </c>
      <c r="D4" s="21">
        <f>C4*B4</f>
        <v>0</v>
      </c>
      <c r="E4" s="48">
        <v>200</v>
      </c>
      <c r="F4" s="48">
        <f t="shared" si="0"/>
        <v>0</v>
      </c>
    </row>
    <row r="5" spans="1:6" ht="49" thickBot="1" x14ac:dyDescent="0.25">
      <c r="A5" s="57" t="s">
        <v>97</v>
      </c>
      <c r="B5" s="58"/>
      <c r="C5" s="58"/>
      <c r="D5" s="49">
        <f>SUM(D2:D4)</f>
        <v>79</v>
      </c>
      <c r="E5" s="50" t="s">
        <v>96</v>
      </c>
      <c r="F5" s="49">
        <f>SUM(F2:F4)</f>
        <v>21500</v>
      </c>
    </row>
    <row r="6" spans="1:6" ht="49" thickBot="1" x14ac:dyDescent="0.25">
      <c r="A6" s="57" t="s">
        <v>98</v>
      </c>
      <c r="B6" s="58"/>
      <c r="C6" s="58"/>
      <c r="D6" s="49">
        <f>D5*0.001</f>
        <v>7.9000000000000001E-2</v>
      </c>
      <c r="E6" s="50" t="s">
        <v>99</v>
      </c>
      <c r="F6" s="49">
        <f>F5*0.001</f>
        <v>21.5</v>
      </c>
    </row>
  </sheetData>
  <mergeCells count="2"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1316-9AC5-B041-99BD-F4AEF14903B3}">
  <dimension ref="A1:M33"/>
  <sheetViews>
    <sheetView showGridLines="0" tabSelected="1" zoomScale="82" workbookViewId="0">
      <selection activeCell="I47" sqref="I47"/>
    </sheetView>
  </sheetViews>
  <sheetFormatPr baseColWidth="10" defaultColWidth="8.83203125" defaultRowHeight="15" x14ac:dyDescent="0.2"/>
  <cols>
    <col min="1" max="1" width="18.83203125" customWidth="1"/>
    <col min="2" max="2" width="18.1640625" customWidth="1"/>
    <col min="3" max="3" width="17.5" customWidth="1"/>
    <col min="4" max="4" width="19.1640625" customWidth="1"/>
    <col min="5" max="5" width="16.33203125" customWidth="1"/>
    <col min="6" max="6" width="16" customWidth="1"/>
    <col min="8" max="8" width="16.5" customWidth="1"/>
    <col min="9" max="9" width="17.83203125" customWidth="1"/>
    <col min="10" max="10" width="17" customWidth="1"/>
    <col min="11" max="11" width="18" customWidth="1"/>
    <col min="12" max="12" width="12.6640625" customWidth="1"/>
    <col min="13" max="13" width="16.6640625" customWidth="1"/>
  </cols>
  <sheetData>
    <row r="1" spans="1:13" x14ac:dyDescent="0.2">
      <c r="A1" s="83" t="s">
        <v>82</v>
      </c>
      <c r="B1" s="84"/>
      <c r="C1" s="84"/>
      <c r="D1" s="84"/>
      <c r="E1" s="84"/>
      <c r="F1" s="85"/>
      <c r="H1" s="86" t="s">
        <v>83</v>
      </c>
      <c r="I1" s="87"/>
      <c r="J1" s="87"/>
      <c r="K1" s="87"/>
      <c r="L1" s="87"/>
      <c r="M1" s="88"/>
    </row>
    <row r="2" spans="1:13" x14ac:dyDescent="0.2">
      <c r="A2" s="12"/>
      <c r="B2" s="9" t="s">
        <v>70</v>
      </c>
      <c r="C2" s="9" t="s">
        <v>65</v>
      </c>
      <c r="D2" s="9" t="s">
        <v>66</v>
      </c>
      <c r="E2" s="9" t="s">
        <v>67</v>
      </c>
      <c r="F2" s="10" t="s">
        <v>68</v>
      </c>
      <c r="H2" s="12"/>
      <c r="I2" s="9" t="s">
        <v>70</v>
      </c>
      <c r="J2" s="9" t="s">
        <v>65</v>
      </c>
      <c r="K2" s="9" t="s">
        <v>66</v>
      </c>
      <c r="L2" s="9" t="s">
        <v>67</v>
      </c>
      <c r="M2" s="10" t="s">
        <v>68</v>
      </c>
    </row>
    <row r="3" spans="1:13" x14ac:dyDescent="0.2">
      <c r="A3" s="12" t="s">
        <v>71</v>
      </c>
      <c r="B3" s="9" t="s">
        <v>72</v>
      </c>
      <c r="C3" s="9" t="s">
        <v>72</v>
      </c>
      <c r="D3" s="9" t="s">
        <v>75</v>
      </c>
      <c r="E3" s="9" t="s">
        <v>73</v>
      </c>
      <c r="F3" s="10" t="s">
        <v>73</v>
      </c>
      <c r="H3" s="12" t="s">
        <v>71</v>
      </c>
      <c r="I3" s="9" t="s">
        <v>72</v>
      </c>
      <c r="J3" s="9" t="s">
        <v>72</v>
      </c>
      <c r="K3" s="9" t="s">
        <v>75</v>
      </c>
      <c r="L3" s="9" t="s">
        <v>73</v>
      </c>
      <c r="M3" s="10" t="s">
        <v>73</v>
      </c>
    </row>
    <row r="4" spans="1:13" x14ac:dyDescent="0.2">
      <c r="A4" s="13" t="s">
        <v>69</v>
      </c>
      <c r="B4" s="14">
        <v>22000</v>
      </c>
      <c r="C4" s="14">
        <v>10</v>
      </c>
      <c r="D4" s="14">
        <v>1</v>
      </c>
      <c r="E4" s="14">
        <v>1</v>
      </c>
      <c r="F4" s="24">
        <v>2</v>
      </c>
      <c r="H4" s="13" t="s">
        <v>69</v>
      </c>
      <c r="I4" s="14">
        <v>22000</v>
      </c>
      <c r="J4" s="14">
        <v>10</v>
      </c>
      <c r="K4" s="14">
        <v>1</v>
      </c>
      <c r="L4" s="14">
        <v>1</v>
      </c>
      <c r="M4" s="24">
        <v>2</v>
      </c>
    </row>
    <row r="5" spans="1:13" x14ac:dyDescent="0.2">
      <c r="A5" s="12" t="s">
        <v>74</v>
      </c>
      <c r="B5" s="9">
        <f>B4</f>
        <v>22000</v>
      </c>
      <c r="C5" s="9">
        <f>C4</f>
        <v>10</v>
      </c>
      <c r="D5" s="9">
        <f>D4*0.3</f>
        <v>0.3</v>
      </c>
      <c r="E5" s="9">
        <f>E4*21</f>
        <v>21</v>
      </c>
      <c r="F5" s="10"/>
      <c r="H5" s="12" t="s">
        <v>74</v>
      </c>
      <c r="I5" s="9">
        <f>I4</f>
        <v>22000</v>
      </c>
      <c r="J5" s="9">
        <f>J4</f>
        <v>10</v>
      </c>
      <c r="K5" s="9">
        <f>K4*0.3</f>
        <v>0.3</v>
      </c>
      <c r="L5" s="9">
        <f>L4*20</f>
        <v>20</v>
      </c>
      <c r="M5" s="10"/>
    </row>
    <row r="6" spans="1:13" x14ac:dyDescent="0.2">
      <c r="A6" s="11"/>
      <c r="F6" s="25"/>
      <c r="H6" s="11"/>
      <c r="M6" s="25"/>
    </row>
    <row r="7" spans="1:13" ht="16" thickBot="1" x14ac:dyDescent="0.25">
      <c r="A7" s="11"/>
      <c r="F7" s="25"/>
      <c r="H7" s="11"/>
      <c r="M7" s="25"/>
    </row>
    <row r="8" spans="1:13" ht="16" thickBot="1" x14ac:dyDescent="0.25">
      <c r="A8" s="65" t="s">
        <v>53</v>
      </c>
      <c r="B8" s="66"/>
      <c r="C8" s="66"/>
      <c r="D8" s="66"/>
      <c r="E8" s="66"/>
      <c r="F8" s="67"/>
      <c r="H8" s="65" t="s">
        <v>76</v>
      </c>
      <c r="I8" s="66"/>
      <c r="J8" s="66"/>
      <c r="K8" s="66"/>
      <c r="L8" s="66"/>
      <c r="M8" s="67"/>
    </row>
    <row r="9" spans="1:13" ht="31.5" customHeight="1" thickBot="1" x14ac:dyDescent="0.25">
      <c r="A9" s="68" t="s">
        <v>86</v>
      </c>
      <c r="B9" s="69"/>
      <c r="C9" s="68" t="s">
        <v>56</v>
      </c>
      <c r="D9" s="69"/>
      <c r="E9" s="68" t="s">
        <v>61</v>
      </c>
      <c r="F9" s="69"/>
      <c r="H9" s="68" t="s">
        <v>86</v>
      </c>
      <c r="I9" s="69"/>
      <c r="J9" s="68" t="s">
        <v>56</v>
      </c>
      <c r="K9" s="69"/>
      <c r="L9" s="68" t="s">
        <v>61</v>
      </c>
      <c r="M9" s="69"/>
    </row>
    <row r="10" spans="1:13" x14ac:dyDescent="0.2">
      <c r="A10" s="3" t="s">
        <v>54</v>
      </c>
      <c r="B10" s="4" t="s">
        <v>55</v>
      </c>
      <c r="C10" s="3" t="s">
        <v>54</v>
      </c>
      <c r="D10" s="4" t="s">
        <v>55</v>
      </c>
      <c r="F10" s="26"/>
      <c r="H10" s="76" t="s">
        <v>55</v>
      </c>
      <c r="I10" s="77"/>
      <c r="J10" s="76" t="s">
        <v>55</v>
      </c>
      <c r="K10" s="77"/>
      <c r="M10" s="26"/>
    </row>
    <row r="11" spans="1:13" ht="16" thickBot="1" x14ac:dyDescent="0.25">
      <c r="A11" s="5">
        <v>5</v>
      </c>
      <c r="B11" s="6">
        <v>20</v>
      </c>
      <c r="C11" s="5">
        <v>10</v>
      </c>
      <c r="D11" s="6">
        <v>9</v>
      </c>
      <c r="F11" s="25"/>
      <c r="H11" s="78">
        <v>35</v>
      </c>
      <c r="I11" s="79"/>
      <c r="J11" s="78">
        <v>22</v>
      </c>
      <c r="K11" s="79"/>
      <c r="M11" s="25"/>
    </row>
    <row r="12" spans="1:13" x14ac:dyDescent="0.2">
      <c r="A12" s="30" t="s">
        <v>52</v>
      </c>
      <c r="B12" s="36">
        <f>B5+C5+E5</f>
        <v>22031</v>
      </c>
      <c r="C12" s="30" t="s">
        <v>52</v>
      </c>
      <c r="D12" s="36">
        <f>B5+C5+E5</f>
        <v>22031</v>
      </c>
      <c r="E12" s="27"/>
      <c r="F12" s="29"/>
      <c r="H12" s="30" t="s">
        <v>52</v>
      </c>
      <c r="I12" s="36">
        <f>I5+J5+L5+K5</f>
        <v>22030.3</v>
      </c>
      <c r="J12" s="30" t="s">
        <v>52</v>
      </c>
      <c r="K12" s="36">
        <f>I5+J5+L5+K5</f>
        <v>22030.3</v>
      </c>
      <c r="L12" s="27"/>
      <c r="M12" s="29"/>
    </row>
    <row r="13" spans="1:13" ht="32" x14ac:dyDescent="0.2">
      <c r="A13" s="37" t="s">
        <v>57</v>
      </c>
      <c r="B13" s="38">
        <v>2000</v>
      </c>
      <c r="C13" s="37" t="s">
        <v>57</v>
      </c>
      <c r="D13" s="38">
        <v>2000</v>
      </c>
      <c r="E13" s="27"/>
      <c r="F13" s="29"/>
      <c r="H13" s="37" t="s">
        <v>57</v>
      </c>
      <c r="I13" s="38">
        <v>1600</v>
      </c>
      <c r="J13" s="37" t="s">
        <v>57</v>
      </c>
      <c r="K13" s="38">
        <v>1600</v>
      </c>
      <c r="L13" s="27"/>
      <c r="M13" s="29"/>
    </row>
    <row r="14" spans="1:13" ht="48" x14ac:dyDescent="0.2">
      <c r="A14" s="37" t="s">
        <v>88</v>
      </c>
      <c r="B14" s="38">
        <v>2000</v>
      </c>
      <c r="C14" s="37" t="s">
        <v>89</v>
      </c>
      <c r="D14" s="38">
        <f>D13*5</f>
        <v>10000</v>
      </c>
      <c r="E14" s="27"/>
      <c r="F14" s="29"/>
      <c r="H14" s="37" t="s">
        <v>90</v>
      </c>
      <c r="I14" s="38">
        <f>I13*1</f>
        <v>1600</v>
      </c>
      <c r="J14" s="41" t="s">
        <v>91</v>
      </c>
      <c r="K14" s="38">
        <f>K13*3</f>
        <v>4800</v>
      </c>
      <c r="L14" s="27"/>
      <c r="M14" s="29"/>
    </row>
    <row r="15" spans="1:13" ht="32" x14ac:dyDescent="0.2">
      <c r="A15" s="37" t="s">
        <v>58</v>
      </c>
      <c r="B15" s="38">
        <f>ROUNDUP(B12/B14,0)</f>
        <v>12</v>
      </c>
      <c r="C15" s="37" t="s">
        <v>58</v>
      </c>
      <c r="D15" s="38">
        <f>ROUNDUP(D12/D14,0)</f>
        <v>3</v>
      </c>
      <c r="E15" s="27"/>
      <c r="F15" s="29"/>
      <c r="H15" s="37" t="s">
        <v>58</v>
      </c>
      <c r="I15" s="38">
        <f>ROUNDUP(I12/I14,0)</f>
        <v>14</v>
      </c>
      <c r="J15" s="37" t="s">
        <v>58</v>
      </c>
      <c r="K15" s="38">
        <f>ROUNDUP(K12/K14,0)</f>
        <v>5</v>
      </c>
      <c r="L15" s="27"/>
      <c r="M15" s="29"/>
    </row>
    <row r="16" spans="1:13" ht="33" thickBot="1" x14ac:dyDescent="0.25">
      <c r="A16" s="39" t="s">
        <v>59</v>
      </c>
      <c r="B16" s="40">
        <f>B15*F4</f>
        <v>24</v>
      </c>
      <c r="C16" s="39" t="s">
        <v>59</v>
      </c>
      <c r="D16" s="40">
        <f>D15*F4</f>
        <v>6</v>
      </c>
      <c r="E16" s="27"/>
      <c r="F16" s="29"/>
      <c r="H16" s="39" t="s">
        <v>59</v>
      </c>
      <c r="I16" s="40">
        <f>I15*M4</f>
        <v>28</v>
      </c>
      <c r="J16" s="39" t="s">
        <v>59</v>
      </c>
      <c r="K16" s="40">
        <f>K15*M4</f>
        <v>10</v>
      </c>
      <c r="L16" s="27"/>
      <c r="M16" s="29"/>
    </row>
    <row r="17" spans="1:13" ht="32" x14ac:dyDescent="0.2">
      <c r="A17" s="70" t="s">
        <v>55</v>
      </c>
      <c r="B17" s="71"/>
      <c r="C17" s="72" t="s">
        <v>55</v>
      </c>
      <c r="D17" s="71"/>
      <c r="E17" s="32" t="s">
        <v>60</v>
      </c>
      <c r="F17" s="43" t="s">
        <v>84</v>
      </c>
      <c r="H17" s="70" t="s">
        <v>55</v>
      </c>
      <c r="I17" s="71"/>
      <c r="J17" s="72" t="s">
        <v>55</v>
      </c>
      <c r="K17" s="71"/>
      <c r="L17" s="44" t="s">
        <v>60</v>
      </c>
      <c r="M17" s="46" t="s">
        <v>84</v>
      </c>
    </row>
    <row r="18" spans="1:13" ht="16" thickBot="1" x14ac:dyDescent="0.25">
      <c r="A18" s="73">
        <f>B16*B11</f>
        <v>480</v>
      </c>
      <c r="B18" s="74"/>
      <c r="C18" s="75">
        <f>D16*D11</f>
        <v>54</v>
      </c>
      <c r="D18" s="74"/>
      <c r="E18" s="34">
        <f>A18-C18</f>
        <v>426</v>
      </c>
      <c r="F18" s="35">
        <f>(E18)/A18</f>
        <v>0.88749999999999996</v>
      </c>
      <c r="H18" s="73">
        <f>I16*H11</f>
        <v>980</v>
      </c>
      <c r="I18" s="74"/>
      <c r="J18" s="75">
        <f>K16*J11</f>
        <v>220</v>
      </c>
      <c r="K18" s="74"/>
      <c r="L18" s="45">
        <f>H18-J18</f>
        <v>760</v>
      </c>
      <c r="M18" s="47">
        <f>(L18)/H18</f>
        <v>0.77551020408163263</v>
      </c>
    </row>
    <row r="19" spans="1:13" ht="16" thickBot="1" x14ac:dyDescent="0.25">
      <c r="A19" s="11"/>
      <c r="F19" s="25"/>
    </row>
    <row r="20" spans="1:13" ht="16" thickBot="1" x14ac:dyDescent="0.25">
      <c r="A20" s="65" t="s">
        <v>62</v>
      </c>
      <c r="B20" s="66"/>
      <c r="C20" s="66"/>
      <c r="D20" s="66"/>
      <c r="E20" s="66"/>
      <c r="F20" s="67"/>
    </row>
    <row r="21" spans="1:13" ht="16" thickBot="1" x14ac:dyDescent="0.25">
      <c r="A21" s="68" t="s">
        <v>86</v>
      </c>
      <c r="B21" s="69"/>
      <c r="C21" s="68" t="s">
        <v>56</v>
      </c>
      <c r="D21" s="69"/>
      <c r="E21" s="68" t="s">
        <v>61</v>
      </c>
      <c r="F21" s="69"/>
    </row>
    <row r="22" spans="1:13" x14ac:dyDescent="0.2">
      <c r="A22" s="19" t="s">
        <v>54</v>
      </c>
      <c r="B22" s="20" t="s">
        <v>55</v>
      </c>
      <c r="C22" s="19" t="s">
        <v>54</v>
      </c>
      <c r="D22" s="20" t="s">
        <v>55</v>
      </c>
      <c r="E22" s="7"/>
      <c r="F22" s="8"/>
    </row>
    <row r="23" spans="1:13" ht="16" thickBot="1" x14ac:dyDescent="0.25">
      <c r="A23" s="5">
        <v>3</v>
      </c>
      <c r="B23" s="6">
        <v>9</v>
      </c>
      <c r="C23" s="5">
        <v>1.5</v>
      </c>
      <c r="D23" s="6">
        <v>1.35</v>
      </c>
      <c r="E23" s="3"/>
      <c r="F23" s="29"/>
    </row>
    <row r="24" spans="1:13" ht="32" x14ac:dyDescent="0.2">
      <c r="A24" s="42" t="s">
        <v>63</v>
      </c>
      <c r="B24" s="36">
        <f>(B5*0.05)+(C5*0.05)+D5</f>
        <v>1100.8</v>
      </c>
      <c r="C24" s="42" t="s">
        <v>63</v>
      </c>
      <c r="D24" s="36">
        <f>(B5*0.05)+(C5*0.05)+D5</f>
        <v>1100.8</v>
      </c>
      <c r="E24" s="3"/>
      <c r="F24" s="29"/>
    </row>
    <row r="25" spans="1:13" ht="32" x14ac:dyDescent="0.2">
      <c r="A25" s="37" t="s">
        <v>57</v>
      </c>
      <c r="B25" s="38">
        <v>250</v>
      </c>
      <c r="C25" s="37" t="s">
        <v>57</v>
      </c>
      <c r="D25" s="38">
        <v>250</v>
      </c>
      <c r="E25" s="27"/>
      <c r="F25" s="29"/>
    </row>
    <row r="26" spans="1:13" ht="48" x14ac:dyDescent="0.2">
      <c r="A26" s="37" t="s">
        <v>87</v>
      </c>
      <c r="B26" s="38">
        <f>1*B25</f>
        <v>250</v>
      </c>
      <c r="C26" s="37" t="s">
        <v>87</v>
      </c>
      <c r="D26" s="38">
        <f>1*D25</f>
        <v>250</v>
      </c>
      <c r="E26" s="27"/>
      <c r="F26" s="29"/>
    </row>
    <row r="27" spans="1:13" ht="32" x14ac:dyDescent="0.2">
      <c r="A27" s="37" t="s">
        <v>64</v>
      </c>
      <c r="B27" s="38">
        <f>ROUNDUP(B24/B26,0)</f>
        <v>5</v>
      </c>
      <c r="C27" s="37" t="s">
        <v>64</v>
      </c>
      <c r="D27" s="38">
        <f>ROUNDUP(D24/D26,0)</f>
        <v>5</v>
      </c>
      <c r="E27" s="27"/>
      <c r="F27" s="29"/>
    </row>
    <row r="28" spans="1:13" ht="33" thickBot="1" x14ac:dyDescent="0.25">
      <c r="A28" s="33" t="s">
        <v>77</v>
      </c>
      <c r="B28" s="6">
        <f>F4*B27</f>
        <v>10</v>
      </c>
      <c r="C28" s="33" t="s">
        <v>77</v>
      </c>
      <c r="D28" s="6">
        <f>F4*D27</f>
        <v>10</v>
      </c>
      <c r="E28" s="27"/>
      <c r="F28" s="29"/>
    </row>
    <row r="29" spans="1:13" ht="32" x14ac:dyDescent="0.2">
      <c r="A29" s="70" t="s">
        <v>55</v>
      </c>
      <c r="B29" s="71"/>
      <c r="C29" s="72" t="s">
        <v>55</v>
      </c>
      <c r="D29" s="71"/>
      <c r="E29" s="32" t="s">
        <v>60</v>
      </c>
      <c r="F29" s="43" t="s">
        <v>84</v>
      </c>
    </row>
    <row r="30" spans="1:13" ht="16" thickBot="1" x14ac:dyDescent="0.25">
      <c r="A30" s="73">
        <f>B28*B23</f>
        <v>90</v>
      </c>
      <c r="B30" s="74"/>
      <c r="C30" s="75">
        <f>D28*D23</f>
        <v>13.5</v>
      </c>
      <c r="D30" s="74"/>
      <c r="E30" s="34">
        <f>A30-C30</f>
        <v>76.5</v>
      </c>
      <c r="F30" s="35">
        <f>(E30)/A30</f>
        <v>0.85</v>
      </c>
    </row>
    <row r="31" spans="1:13" ht="16" thickBot="1" x14ac:dyDescent="0.25">
      <c r="A31" s="7"/>
      <c r="B31" s="28"/>
      <c r="C31" s="28"/>
      <c r="D31" s="28"/>
      <c r="F31" s="25"/>
    </row>
    <row r="32" spans="1:13" x14ac:dyDescent="0.2">
      <c r="A32" s="80" t="s">
        <v>60</v>
      </c>
      <c r="B32" s="81"/>
      <c r="C32" s="82"/>
      <c r="D32" s="81" t="s">
        <v>85</v>
      </c>
      <c r="E32" s="81"/>
      <c r="F32" s="82"/>
    </row>
    <row r="33" spans="1:6" ht="16" thickBot="1" x14ac:dyDescent="0.25">
      <c r="A33" s="59">
        <f>E30+E18</f>
        <v>502.5</v>
      </c>
      <c r="B33" s="60"/>
      <c r="C33" s="61"/>
      <c r="D33" s="62">
        <f>A33/(A30+A18)</f>
        <v>0.88157894736842102</v>
      </c>
      <c r="E33" s="63"/>
      <c r="F33" s="64"/>
    </row>
  </sheetData>
  <mergeCells count="34">
    <mergeCell ref="A33:C33"/>
    <mergeCell ref="D33:F33"/>
    <mergeCell ref="A29:B29"/>
    <mergeCell ref="C29:D29"/>
    <mergeCell ref="A30:B30"/>
    <mergeCell ref="C30:D30"/>
    <mergeCell ref="A32:C32"/>
    <mergeCell ref="D32:F32"/>
    <mergeCell ref="A18:B18"/>
    <mergeCell ref="C18:D18"/>
    <mergeCell ref="H18:I18"/>
    <mergeCell ref="J18:K18"/>
    <mergeCell ref="A20:F20"/>
    <mergeCell ref="A21:B21"/>
    <mergeCell ref="C21:D21"/>
    <mergeCell ref="E21:F21"/>
    <mergeCell ref="H10:I10"/>
    <mergeCell ref="J10:K10"/>
    <mergeCell ref="H11:I11"/>
    <mergeCell ref="J11:K11"/>
    <mergeCell ref="A17:B17"/>
    <mergeCell ref="C17:D17"/>
    <mergeCell ref="H17:I17"/>
    <mergeCell ref="J17:K17"/>
    <mergeCell ref="A1:F1"/>
    <mergeCell ref="H1:M1"/>
    <mergeCell ref="A8:F8"/>
    <mergeCell ref="H8:M8"/>
    <mergeCell ref="A9:B9"/>
    <mergeCell ref="C9:D9"/>
    <mergeCell ref="E9:F9"/>
    <mergeCell ref="H9:I9"/>
    <mergeCell ref="J9:K9"/>
    <mergeCell ref="L9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CB90F-C990-41B7-BC3D-7DB52A776386}">
  <dimension ref="A1:M33"/>
  <sheetViews>
    <sheetView showGridLines="0" zoomScale="82" workbookViewId="0">
      <selection activeCell="H52" sqref="H52"/>
    </sheetView>
  </sheetViews>
  <sheetFormatPr baseColWidth="10" defaultColWidth="8.83203125" defaultRowHeight="15" x14ac:dyDescent="0.2"/>
  <cols>
    <col min="1" max="1" width="18.83203125" customWidth="1"/>
    <col min="2" max="2" width="18.1640625" customWidth="1"/>
    <col min="3" max="3" width="17.5" customWidth="1"/>
    <col min="4" max="4" width="19.1640625" customWidth="1"/>
    <col min="5" max="5" width="16.33203125" customWidth="1"/>
    <col min="6" max="6" width="16" customWidth="1"/>
    <col min="8" max="8" width="16.5" customWidth="1"/>
    <col min="9" max="9" width="17.83203125" customWidth="1"/>
    <col min="10" max="10" width="17" customWidth="1"/>
    <col min="11" max="11" width="18" customWidth="1"/>
    <col min="12" max="12" width="12.6640625" customWidth="1"/>
    <col min="13" max="13" width="16.6640625" customWidth="1"/>
  </cols>
  <sheetData>
    <row r="1" spans="1:13" x14ac:dyDescent="0.2">
      <c r="A1" s="83" t="s">
        <v>82</v>
      </c>
      <c r="B1" s="84"/>
      <c r="C1" s="84"/>
      <c r="D1" s="84"/>
      <c r="E1" s="84"/>
      <c r="F1" s="85"/>
      <c r="H1" s="86" t="s">
        <v>83</v>
      </c>
      <c r="I1" s="87"/>
      <c r="J1" s="87"/>
      <c r="K1" s="87"/>
      <c r="L1" s="87"/>
      <c r="M1" s="88"/>
    </row>
    <row r="2" spans="1:13" x14ac:dyDescent="0.2">
      <c r="A2" s="12"/>
      <c r="B2" s="9" t="s">
        <v>70</v>
      </c>
      <c r="C2" s="9" t="s">
        <v>65</v>
      </c>
      <c r="D2" s="9" t="s">
        <v>66</v>
      </c>
      <c r="E2" s="9" t="s">
        <v>67</v>
      </c>
      <c r="F2" s="10" t="s">
        <v>68</v>
      </c>
      <c r="H2" s="12"/>
      <c r="I2" s="9" t="s">
        <v>70</v>
      </c>
      <c r="J2" s="9" t="s">
        <v>65</v>
      </c>
      <c r="K2" s="9" t="s">
        <v>66</v>
      </c>
      <c r="L2" s="9" t="s">
        <v>67</v>
      </c>
      <c r="M2" s="10" t="s">
        <v>68</v>
      </c>
    </row>
    <row r="3" spans="1:13" x14ac:dyDescent="0.2">
      <c r="A3" s="12" t="s">
        <v>71</v>
      </c>
      <c r="B3" s="9" t="s">
        <v>72</v>
      </c>
      <c r="C3" s="9" t="s">
        <v>72</v>
      </c>
      <c r="D3" s="9" t="s">
        <v>75</v>
      </c>
      <c r="E3" s="9" t="s">
        <v>73</v>
      </c>
      <c r="F3" s="10" t="s">
        <v>73</v>
      </c>
      <c r="H3" s="12" t="s">
        <v>71</v>
      </c>
      <c r="I3" s="9" t="s">
        <v>72</v>
      </c>
      <c r="J3" s="9" t="s">
        <v>72</v>
      </c>
      <c r="K3" s="9" t="s">
        <v>75</v>
      </c>
      <c r="L3" s="9" t="s">
        <v>73</v>
      </c>
      <c r="M3" s="10" t="s">
        <v>73</v>
      </c>
    </row>
    <row r="4" spans="1:13" x14ac:dyDescent="0.2">
      <c r="A4" s="13" t="s">
        <v>69</v>
      </c>
      <c r="B4" s="14">
        <v>22000</v>
      </c>
      <c r="C4" s="14">
        <v>10</v>
      </c>
      <c r="D4" s="14">
        <v>1</v>
      </c>
      <c r="E4" s="14">
        <v>1</v>
      </c>
      <c r="F4" s="24">
        <v>2</v>
      </c>
      <c r="H4" s="13" t="s">
        <v>69</v>
      </c>
      <c r="I4" s="14">
        <v>22000</v>
      </c>
      <c r="J4" s="14">
        <v>10</v>
      </c>
      <c r="K4" s="14">
        <v>1</v>
      </c>
      <c r="L4" s="14">
        <v>1</v>
      </c>
      <c r="M4" s="24">
        <v>2</v>
      </c>
    </row>
    <row r="5" spans="1:13" x14ac:dyDescent="0.2">
      <c r="A5" s="12" t="s">
        <v>74</v>
      </c>
      <c r="B5" s="9">
        <f>B4</f>
        <v>22000</v>
      </c>
      <c r="C5" s="9">
        <f>C4</f>
        <v>10</v>
      </c>
      <c r="D5" s="9">
        <f>D4*0.3</f>
        <v>0.3</v>
      </c>
      <c r="E5" s="9">
        <f>E4*21</f>
        <v>21</v>
      </c>
      <c r="F5" s="10"/>
      <c r="H5" s="12" t="s">
        <v>74</v>
      </c>
      <c r="I5" s="9">
        <f>I4</f>
        <v>22000</v>
      </c>
      <c r="J5" s="9">
        <f>J4</f>
        <v>10</v>
      </c>
      <c r="K5" s="9">
        <f>K4*0.3</f>
        <v>0.3</v>
      </c>
      <c r="L5" s="9">
        <f>L4*20</f>
        <v>20</v>
      </c>
      <c r="M5" s="10"/>
    </row>
    <row r="6" spans="1:13" x14ac:dyDescent="0.2">
      <c r="A6" s="11"/>
      <c r="F6" s="25"/>
      <c r="H6" s="11"/>
      <c r="M6" s="25"/>
    </row>
    <row r="7" spans="1:13" ht="16" thickBot="1" x14ac:dyDescent="0.25">
      <c r="A7" s="11"/>
      <c r="F7" s="25"/>
      <c r="H7" s="11"/>
      <c r="M7" s="25"/>
    </row>
    <row r="8" spans="1:13" ht="16" thickBot="1" x14ac:dyDescent="0.25">
      <c r="A8" s="65" t="s">
        <v>53</v>
      </c>
      <c r="B8" s="66"/>
      <c r="C8" s="66"/>
      <c r="D8" s="66"/>
      <c r="E8" s="66"/>
      <c r="F8" s="67"/>
      <c r="H8" s="65" t="s">
        <v>76</v>
      </c>
      <c r="I8" s="66"/>
      <c r="J8" s="66"/>
      <c r="K8" s="66"/>
      <c r="L8" s="66"/>
      <c r="M8" s="67"/>
    </row>
    <row r="9" spans="1:13" ht="31.5" customHeight="1" thickBot="1" x14ac:dyDescent="0.25">
      <c r="A9" s="68" t="s">
        <v>86</v>
      </c>
      <c r="B9" s="69"/>
      <c r="C9" s="68" t="s">
        <v>56</v>
      </c>
      <c r="D9" s="69"/>
      <c r="E9" s="68" t="s">
        <v>61</v>
      </c>
      <c r="F9" s="69"/>
      <c r="H9" s="68" t="s">
        <v>86</v>
      </c>
      <c r="I9" s="69"/>
      <c r="J9" s="68" t="s">
        <v>56</v>
      </c>
      <c r="K9" s="69"/>
      <c r="L9" s="68" t="s">
        <v>61</v>
      </c>
      <c r="M9" s="69"/>
    </row>
    <row r="10" spans="1:13" x14ac:dyDescent="0.2">
      <c r="A10" s="3" t="s">
        <v>54</v>
      </c>
      <c r="B10" s="4" t="s">
        <v>55</v>
      </c>
      <c r="C10" s="3" t="s">
        <v>54</v>
      </c>
      <c r="D10" s="4" t="s">
        <v>55</v>
      </c>
      <c r="F10" s="26"/>
      <c r="H10" s="76" t="s">
        <v>55</v>
      </c>
      <c r="I10" s="77"/>
      <c r="J10" s="76" t="s">
        <v>55</v>
      </c>
      <c r="K10" s="77"/>
      <c r="M10" s="26"/>
    </row>
    <row r="11" spans="1:13" ht="16" thickBot="1" x14ac:dyDescent="0.25">
      <c r="A11" s="5">
        <v>5</v>
      </c>
      <c r="B11" s="6">
        <v>20</v>
      </c>
      <c r="C11" s="5">
        <v>10</v>
      </c>
      <c r="D11" s="6">
        <v>9</v>
      </c>
      <c r="F11" s="25"/>
      <c r="H11" s="78">
        <v>35</v>
      </c>
      <c r="I11" s="79"/>
      <c r="J11" s="78">
        <v>22</v>
      </c>
      <c r="K11" s="79"/>
      <c r="M11" s="25"/>
    </row>
    <row r="12" spans="1:13" x14ac:dyDescent="0.2">
      <c r="A12" s="30" t="s">
        <v>52</v>
      </c>
      <c r="B12" s="36">
        <f>B5+C5+E5</f>
        <v>22031</v>
      </c>
      <c r="C12" s="30" t="s">
        <v>52</v>
      </c>
      <c r="D12" s="36">
        <f>B5+C5+E5</f>
        <v>22031</v>
      </c>
      <c r="E12" s="27"/>
      <c r="F12" s="29"/>
      <c r="H12" s="30" t="s">
        <v>52</v>
      </c>
      <c r="I12" s="36">
        <f>I5+J5+L5+K5</f>
        <v>22030.3</v>
      </c>
      <c r="J12" s="30" t="s">
        <v>52</v>
      </c>
      <c r="K12" s="36">
        <f>I5+J5+L5+K5</f>
        <v>22030.3</v>
      </c>
      <c r="L12" s="27"/>
      <c r="M12" s="29"/>
    </row>
    <row r="13" spans="1:13" ht="32" x14ac:dyDescent="0.2">
      <c r="A13" s="37" t="s">
        <v>57</v>
      </c>
      <c r="B13" s="38">
        <v>2000</v>
      </c>
      <c r="C13" s="37" t="s">
        <v>57</v>
      </c>
      <c r="D13" s="38">
        <v>2000</v>
      </c>
      <c r="E13" s="27"/>
      <c r="F13" s="29"/>
      <c r="H13" s="37" t="s">
        <v>57</v>
      </c>
      <c r="I13" s="38">
        <v>1600</v>
      </c>
      <c r="J13" s="37" t="s">
        <v>57</v>
      </c>
      <c r="K13" s="38">
        <v>1600</v>
      </c>
      <c r="L13" s="27"/>
      <c r="M13" s="29"/>
    </row>
    <row r="14" spans="1:13" ht="48" x14ac:dyDescent="0.2">
      <c r="A14" s="37" t="s">
        <v>88</v>
      </c>
      <c r="B14" s="38">
        <v>2000</v>
      </c>
      <c r="C14" s="37" t="s">
        <v>89</v>
      </c>
      <c r="D14" s="38">
        <f>D13*5</f>
        <v>10000</v>
      </c>
      <c r="E14" s="27"/>
      <c r="F14" s="29"/>
      <c r="H14" s="37" t="s">
        <v>90</v>
      </c>
      <c r="I14" s="38">
        <f>I13*1</f>
        <v>1600</v>
      </c>
      <c r="J14" s="41" t="s">
        <v>91</v>
      </c>
      <c r="K14" s="38">
        <f>K13*3</f>
        <v>4800</v>
      </c>
      <c r="L14" s="27"/>
      <c r="M14" s="29"/>
    </row>
    <row r="15" spans="1:13" ht="32" x14ac:dyDescent="0.2">
      <c r="A15" s="37" t="s">
        <v>58</v>
      </c>
      <c r="B15" s="38">
        <f>ROUNDUP(B12/B14,0)</f>
        <v>12</v>
      </c>
      <c r="C15" s="37" t="s">
        <v>58</v>
      </c>
      <c r="D15" s="38">
        <f>ROUNDUP(D12/D14,0)</f>
        <v>3</v>
      </c>
      <c r="E15" s="27"/>
      <c r="F15" s="29"/>
      <c r="H15" s="37" t="s">
        <v>58</v>
      </c>
      <c r="I15" s="38">
        <f>ROUNDUP(I12/I14,0)</f>
        <v>14</v>
      </c>
      <c r="J15" s="37" t="s">
        <v>58</v>
      </c>
      <c r="K15" s="38">
        <f>ROUNDUP(K12/K14,0)</f>
        <v>5</v>
      </c>
      <c r="L15" s="27"/>
      <c r="M15" s="29"/>
    </row>
    <row r="16" spans="1:13" ht="33" thickBot="1" x14ac:dyDescent="0.25">
      <c r="A16" s="39" t="s">
        <v>59</v>
      </c>
      <c r="B16" s="40">
        <f>B15*F4</f>
        <v>24</v>
      </c>
      <c r="C16" s="39" t="s">
        <v>59</v>
      </c>
      <c r="D16" s="40">
        <f>D15*F4</f>
        <v>6</v>
      </c>
      <c r="E16" s="27"/>
      <c r="F16" s="29"/>
      <c r="H16" s="39" t="s">
        <v>59</v>
      </c>
      <c r="I16" s="40">
        <f>I15*M4</f>
        <v>28</v>
      </c>
      <c r="J16" s="39" t="s">
        <v>59</v>
      </c>
      <c r="K16" s="40">
        <f>K15*M4</f>
        <v>10</v>
      </c>
      <c r="L16" s="27"/>
      <c r="M16" s="29"/>
    </row>
    <row r="17" spans="1:13" ht="32" x14ac:dyDescent="0.2">
      <c r="A17" s="70" t="s">
        <v>55</v>
      </c>
      <c r="B17" s="71"/>
      <c r="C17" s="72" t="s">
        <v>55</v>
      </c>
      <c r="D17" s="71"/>
      <c r="E17" s="32" t="s">
        <v>60</v>
      </c>
      <c r="F17" s="43" t="s">
        <v>84</v>
      </c>
      <c r="H17" s="70" t="s">
        <v>55</v>
      </c>
      <c r="I17" s="71"/>
      <c r="J17" s="72" t="s">
        <v>55</v>
      </c>
      <c r="K17" s="71"/>
      <c r="L17" s="44" t="s">
        <v>60</v>
      </c>
      <c r="M17" s="46" t="s">
        <v>84</v>
      </c>
    </row>
    <row r="18" spans="1:13" ht="16" thickBot="1" x14ac:dyDescent="0.25">
      <c r="A18" s="73">
        <f>B16*B11</f>
        <v>480</v>
      </c>
      <c r="B18" s="74"/>
      <c r="C18" s="75">
        <f>D16*D11</f>
        <v>54</v>
      </c>
      <c r="D18" s="74"/>
      <c r="E18" s="34">
        <f>A18-C18</f>
        <v>426</v>
      </c>
      <c r="F18" s="35">
        <f>(E18)/A18</f>
        <v>0.88749999999999996</v>
      </c>
      <c r="H18" s="73">
        <f>I16*H11</f>
        <v>980</v>
      </c>
      <c r="I18" s="74"/>
      <c r="J18" s="75">
        <f>K16*J11</f>
        <v>220</v>
      </c>
      <c r="K18" s="74"/>
      <c r="L18" s="45">
        <f>H18-J18</f>
        <v>760</v>
      </c>
      <c r="M18" s="47">
        <f>(L18)/H18</f>
        <v>0.77551020408163263</v>
      </c>
    </row>
    <row r="19" spans="1:13" ht="16" thickBot="1" x14ac:dyDescent="0.25">
      <c r="A19" s="11"/>
      <c r="F19" s="25"/>
    </row>
    <row r="20" spans="1:13" ht="16" thickBot="1" x14ac:dyDescent="0.25">
      <c r="A20" s="65" t="s">
        <v>62</v>
      </c>
      <c r="B20" s="66"/>
      <c r="C20" s="66"/>
      <c r="D20" s="66"/>
      <c r="E20" s="66"/>
      <c r="F20" s="67"/>
    </row>
    <row r="21" spans="1:13" ht="16" thickBot="1" x14ac:dyDescent="0.25">
      <c r="A21" s="68" t="s">
        <v>86</v>
      </c>
      <c r="B21" s="69"/>
      <c r="C21" s="68" t="s">
        <v>56</v>
      </c>
      <c r="D21" s="69"/>
      <c r="E21" s="68" t="s">
        <v>61</v>
      </c>
      <c r="F21" s="69"/>
    </row>
    <row r="22" spans="1:13" x14ac:dyDescent="0.2">
      <c r="A22" s="19" t="s">
        <v>54</v>
      </c>
      <c r="B22" s="20" t="s">
        <v>55</v>
      </c>
      <c r="C22" s="19" t="s">
        <v>54</v>
      </c>
      <c r="D22" s="20" t="s">
        <v>55</v>
      </c>
      <c r="E22" s="7"/>
      <c r="F22" s="8"/>
    </row>
    <row r="23" spans="1:13" ht="16" thickBot="1" x14ac:dyDescent="0.25">
      <c r="A23" s="5">
        <v>3</v>
      </c>
      <c r="B23" s="6">
        <v>9</v>
      </c>
      <c r="C23" s="5">
        <v>1.5</v>
      </c>
      <c r="D23" s="6">
        <v>3.78</v>
      </c>
      <c r="E23" s="3"/>
      <c r="F23" s="29"/>
    </row>
    <row r="24" spans="1:13" ht="32" x14ac:dyDescent="0.2">
      <c r="A24" s="42" t="s">
        <v>63</v>
      </c>
      <c r="B24" s="36">
        <f>(B5*0.05)+(C5*0.05)+D5</f>
        <v>1100.8</v>
      </c>
      <c r="C24" s="42" t="s">
        <v>63</v>
      </c>
      <c r="D24" s="36">
        <f>(B5*0.05)+(C5*0.05)+D5</f>
        <v>1100.8</v>
      </c>
      <c r="E24" s="3"/>
      <c r="F24" s="29"/>
    </row>
    <row r="25" spans="1:13" ht="32" x14ac:dyDescent="0.2">
      <c r="A25" s="37" t="s">
        <v>57</v>
      </c>
      <c r="B25" s="38">
        <v>250</v>
      </c>
      <c r="C25" s="37" t="s">
        <v>57</v>
      </c>
      <c r="D25" s="38">
        <v>250</v>
      </c>
      <c r="E25" s="27"/>
      <c r="F25" s="29"/>
    </row>
    <row r="26" spans="1:13" ht="48" x14ac:dyDescent="0.2">
      <c r="A26" s="37" t="s">
        <v>87</v>
      </c>
      <c r="B26" s="38">
        <f>1*B25</f>
        <v>250</v>
      </c>
      <c r="C26" s="37" t="s">
        <v>87</v>
      </c>
      <c r="D26" s="38">
        <f>1*D25</f>
        <v>250</v>
      </c>
      <c r="E26" s="27"/>
      <c r="F26" s="29"/>
    </row>
    <row r="27" spans="1:13" ht="32" x14ac:dyDescent="0.2">
      <c r="A27" s="37" t="s">
        <v>64</v>
      </c>
      <c r="B27" s="38">
        <f>ROUNDUP(B24/B26,0)</f>
        <v>5</v>
      </c>
      <c r="C27" s="37" t="s">
        <v>64</v>
      </c>
      <c r="D27" s="38">
        <f>ROUNDUP(D24/D26,0)</f>
        <v>5</v>
      </c>
      <c r="E27" s="27"/>
      <c r="F27" s="29"/>
    </row>
    <row r="28" spans="1:13" ht="33" thickBot="1" x14ac:dyDescent="0.25">
      <c r="A28" s="33" t="s">
        <v>77</v>
      </c>
      <c r="B28" s="6">
        <f>F4*B27</f>
        <v>10</v>
      </c>
      <c r="C28" s="33" t="s">
        <v>77</v>
      </c>
      <c r="D28" s="6">
        <f>F4*D27</f>
        <v>10</v>
      </c>
      <c r="E28" s="27"/>
      <c r="F28" s="29"/>
    </row>
    <row r="29" spans="1:13" ht="32" x14ac:dyDescent="0.2">
      <c r="A29" s="70" t="s">
        <v>55</v>
      </c>
      <c r="B29" s="71"/>
      <c r="C29" s="72" t="s">
        <v>55</v>
      </c>
      <c r="D29" s="71"/>
      <c r="E29" s="32" t="s">
        <v>60</v>
      </c>
      <c r="F29" s="43" t="s">
        <v>84</v>
      </c>
    </row>
    <row r="30" spans="1:13" ht="16" thickBot="1" x14ac:dyDescent="0.25">
      <c r="A30" s="73">
        <f>B28*B23</f>
        <v>90</v>
      </c>
      <c r="B30" s="74"/>
      <c r="C30" s="75">
        <f>D28*D23</f>
        <v>37.799999999999997</v>
      </c>
      <c r="D30" s="74"/>
      <c r="E30" s="34">
        <f>A30-C30</f>
        <v>52.2</v>
      </c>
      <c r="F30" s="35">
        <f>(E30)/A30</f>
        <v>0.58000000000000007</v>
      </c>
    </row>
    <row r="31" spans="1:13" ht="16" thickBot="1" x14ac:dyDescent="0.25">
      <c r="A31" s="7"/>
      <c r="B31" s="28"/>
      <c r="C31" s="28"/>
      <c r="D31" s="28"/>
      <c r="F31" s="25"/>
    </row>
    <row r="32" spans="1:13" x14ac:dyDescent="0.2">
      <c r="A32" s="80" t="s">
        <v>60</v>
      </c>
      <c r="B32" s="81"/>
      <c r="C32" s="82"/>
      <c r="D32" s="81" t="s">
        <v>85</v>
      </c>
      <c r="E32" s="81"/>
      <c r="F32" s="82"/>
    </row>
    <row r="33" spans="1:6" ht="16" thickBot="1" x14ac:dyDescent="0.25">
      <c r="A33" s="59">
        <f>E30+E18</f>
        <v>478.2</v>
      </c>
      <c r="B33" s="60"/>
      <c r="C33" s="61"/>
      <c r="D33" s="62">
        <f>A33/(A30+A18)</f>
        <v>0.83894736842105266</v>
      </c>
      <c r="E33" s="63"/>
      <c r="F33" s="64"/>
    </row>
  </sheetData>
  <mergeCells count="34">
    <mergeCell ref="A1:F1"/>
    <mergeCell ref="H1:M1"/>
    <mergeCell ref="A9:B9"/>
    <mergeCell ref="C9:D9"/>
    <mergeCell ref="E9:F9"/>
    <mergeCell ref="A8:F8"/>
    <mergeCell ref="C21:D21"/>
    <mergeCell ref="E21:F21"/>
    <mergeCell ref="A32:C32"/>
    <mergeCell ref="A17:B17"/>
    <mergeCell ref="C17:D17"/>
    <mergeCell ref="A18:B18"/>
    <mergeCell ref="C18:D18"/>
    <mergeCell ref="A29:B29"/>
    <mergeCell ref="C29:D29"/>
    <mergeCell ref="A30:B30"/>
    <mergeCell ref="C30:D30"/>
    <mergeCell ref="D32:F32"/>
    <mergeCell ref="A33:C33"/>
    <mergeCell ref="D33:F33"/>
    <mergeCell ref="A20:F20"/>
    <mergeCell ref="H8:M8"/>
    <mergeCell ref="H9:I9"/>
    <mergeCell ref="J9:K9"/>
    <mergeCell ref="L9:M9"/>
    <mergeCell ref="H17:I17"/>
    <mergeCell ref="J17:K17"/>
    <mergeCell ref="H18:I18"/>
    <mergeCell ref="J18:K18"/>
    <mergeCell ref="H10:I10"/>
    <mergeCell ref="H11:I11"/>
    <mergeCell ref="J10:K10"/>
    <mergeCell ref="J11:K11"/>
    <mergeCell ref="A21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Paints</vt:lpstr>
      <vt:lpstr>Trees</vt:lpstr>
      <vt:lpstr>Water-Original</vt:lpstr>
      <vt:lpstr>Water-washing machine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Alberto Bonil Reina</dc:creator>
  <cp:lastModifiedBy>Juan Granados</cp:lastModifiedBy>
  <dcterms:created xsi:type="dcterms:W3CDTF">2023-11-30T15:38:43Z</dcterms:created>
  <dcterms:modified xsi:type="dcterms:W3CDTF">2024-11-27T23:05:29Z</dcterms:modified>
</cp:coreProperties>
</file>