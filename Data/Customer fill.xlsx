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ki3/Desktop/Grad Year/MDA 9160/Industry Project/GreenTech-Project/Data/"/>
    </mc:Choice>
  </mc:AlternateContent>
  <xr:revisionPtr revIDLastSave="0" documentId="13_ncr:1_{8AA6F06C-AB56-7440-BF9D-B151CAE5A60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ustomer" sheetId="1" r:id="rId1"/>
    <sheet name="List" sheetId="2" r:id="rId2"/>
  </sheets>
  <externalReferences>
    <externalReference r:id="rId3"/>
    <externalReference r:id="rId4"/>
    <externalReference r:id="rId5"/>
  </externalReferences>
  <definedNames>
    <definedName name="AccCoat">Customer!$F$40:$F$41</definedName>
    <definedName name="Accessories">Customer!$B$40:$B$41</definedName>
    <definedName name="Address">Customer!$B$5</definedName>
    <definedName name="BaseboardServ">Customer!$J$13:$J$27</definedName>
    <definedName name="Ceiling">List!$D$2:$D$4</definedName>
    <definedName name="CeilingMat">Customer!$I$13:$I$27</definedName>
    <definedName name="CeilingServ">Customer!$H$13:$H$27</definedName>
    <definedName name="Date">Customer!$B$8</definedName>
    <definedName name="Depth">Customer!$D$13:$D$27</definedName>
    <definedName name="door">List!$A$2:$A$10</definedName>
    <definedName name="DoorCoat">Customer!$F$33:$F$39</definedName>
    <definedName name="Doors">Customer!$B$33:$B$39</definedName>
    <definedName name="Email">Customer!$B$7</definedName>
    <definedName name="Feet">Customer!$D$40:$D$41</definedName>
    <definedName name="Finish">Customer!$G$13:$G$27</definedName>
    <definedName name="FinishCoats">Customer!$L$13:$L$27</definedName>
    <definedName name="Finishpainting">List!$E$2:$E$22</definedName>
    <definedName name="GranTotal">Customer!$G$43</definedName>
    <definedName name="Height">Customer!$E$13:$E$27</definedName>
    <definedName name="InitEst">Customer!$M$30</definedName>
    <definedName name="Name">Customer!$B$4</definedName>
    <definedName name="Names">Customer!$B$13:$B$27</definedName>
    <definedName name="Phone">Customer!$B$6</definedName>
    <definedName name="Primer">Customer!$F$13:$F$27</definedName>
    <definedName name="PrimerCoats">Customer!$K$13:$K$27</definedName>
    <definedName name="ProjectType">Customer!$D$5</definedName>
    <definedName name="Quantity">Customer!$D$33:$D$39</definedName>
    <definedName name="Quote">Customer!$B$9</definedName>
    <definedName name="Tax">Customer!$D$7</definedName>
    <definedName name="TotArea">Customer!$M$29</definedName>
    <definedName name="Width">Customer!$C$13:$C$27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E25" i="2"/>
  <c r="D25" i="2"/>
  <c r="F24" i="2"/>
  <c r="E24" i="2"/>
  <c r="D24" i="2"/>
  <c r="F23" i="2"/>
  <c r="E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A10" i="2"/>
  <c r="F9" i="2"/>
  <c r="D9" i="2"/>
  <c r="A9" i="2"/>
  <c r="F8" i="2"/>
  <c r="D8" i="2"/>
  <c r="A8" i="2"/>
  <c r="F7" i="2"/>
  <c r="D7" i="2"/>
  <c r="A7" i="2"/>
  <c r="D6" i="2"/>
  <c r="A6" i="2"/>
  <c r="D5" i="2"/>
  <c r="A5" i="2"/>
  <c r="A4" i="2"/>
  <c r="A3" i="2"/>
  <c r="K2" i="2" a="1"/>
  <c r="F5" i="2" s="1"/>
  <c r="J2" i="2" a="1"/>
  <c r="E20" i="2" s="1"/>
  <c r="I2" i="2" a="1"/>
  <c r="I2" i="2" s="1"/>
  <c r="D2" i="2" s="1"/>
  <c r="A2" i="2"/>
  <c r="J2" i="2" l="1"/>
  <c r="E2" i="2" s="1"/>
  <c r="D4" i="2"/>
  <c r="E15" i="2"/>
  <c r="E4" i="2"/>
  <c r="E8" i="2"/>
  <c r="E18" i="2"/>
  <c r="K2" i="2"/>
  <c r="F2" i="2" s="1"/>
  <c r="F4" i="2"/>
  <c r="E13" i="2"/>
  <c r="E21" i="2"/>
  <c r="E16" i="2"/>
  <c r="E6" i="2"/>
  <c r="E10" i="2"/>
  <c r="F6" i="2"/>
  <c r="D3" i="2"/>
  <c r="E11" i="2"/>
  <c r="E19" i="2"/>
  <c r="E22" i="2"/>
  <c r="E3" i="2"/>
  <c r="E5" i="2"/>
  <c r="E7" i="2"/>
  <c r="E9" i="2"/>
  <c r="E14" i="2"/>
  <c r="F3" i="2"/>
  <c r="E17" i="2"/>
  <c r="E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<sst xmlns="http://schemas.openxmlformats.org/spreadsheetml/2006/main" count="150" uniqueCount="91">
  <si>
    <t>ESTIMATE</t>
  </si>
  <si>
    <t>GREENTECH PAINTING INC</t>
  </si>
  <si>
    <t>Name:</t>
  </si>
  <si>
    <t>Project Type</t>
  </si>
  <si>
    <t>1243 Royal York Rd</t>
  </si>
  <si>
    <t>Address:</t>
  </si>
  <si>
    <t>London ON  N6H 4A1</t>
  </si>
  <si>
    <t>Phone:</t>
  </si>
  <si>
    <t>Tax Type</t>
  </si>
  <si>
    <t>Email:</t>
  </si>
  <si>
    <t>customerservice@greentechpainting.com</t>
  </si>
  <si>
    <t>Date:</t>
  </si>
  <si>
    <t>www.greentechpainting.com</t>
  </si>
  <si>
    <t>Quote number:</t>
  </si>
  <si>
    <t>Together, let’s make a positive impact on the world, one paint job at a time.</t>
  </si>
  <si>
    <t>Number</t>
  </si>
  <si>
    <t>Area</t>
  </si>
  <si>
    <t>Ceiling</t>
  </si>
  <si>
    <t xml:space="preserve">Ceiling </t>
  </si>
  <si>
    <t>Baseboard</t>
  </si>
  <si>
    <t>Coats</t>
  </si>
  <si>
    <t>Internal Painting</t>
  </si>
  <si>
    <t>Width (Ft)</t>
  </si>
  <si>
    <t>Depth (Ft)</t>
  </si>
  <si>
    <t>Height (ft)</t>
  </si>
  <si>
    <t>Primer Material</t>
  </si>
  <si>
    <t>Finish Material</t>
  </si>
  <si>
    <t>Service</t>
  </si>
  <si>
    <t>Material</t>
  </si>
  <si>
    <t>Primer</t>
  </si>
  <si>
    <t>Finish</t>
  </si>
  <si>
    <t>TV room</t>
  </si>
  <si>
    <t xml:space="preserve">Step One Primer - White </t>
  </si>
  <si>
    <t>PM200 HP 0 EG EW  Pro Mar 200 HP</t>
  </si>
  <si>
    <t>Yes</t>
  </si>
  <si>
    <t xml:space="preserve">Waterborne Ceiling Paint White </t>
  </si>
  <si>
    <t>No</t>
  </si>
  <si>
    <t>Foyer</t>
  </si>
  <si>
    <t>PM 200 0 PRIMER Zero VOC Primer</t>
  </si>
  <si>
    <t xml:space="preserve">Aura Bath &amp; Spa Matte Base 1 </t>
  </si>
  <si>
    <t>Bedroom</t>
  </si>
  <si>
    <t>PM 200 0 FL EXTRA Pro Mar 200 Zero Voc Contractor grade</t>
  </si>
  <si>
    <t>Closet</t>
  </si>
  <si>
    <t>SPR INT SA AIR EW SuperPaint Air</t>
  </si>
  <si>
    <t>Mechanical room</t>
  </si>
  <si>
    <t>PM 400 0 FL EXTRA Zero Voc Ceiling</t>
  </si>
  <si>
    <t>Tax:</t>
  </si>
  <si>
    <t xml:space="preserve">Total Area </t>
  </si>
  <si>
    <t>Initial Estimate</t>
  </si>
  <si>
    <t>Doors and accesories (Labor and paint)</t>
  </si>
  <si>
    <t>Bi-fold wood door</t>
  </si>
  <si>
    <t>Single Metal man door</t>
  </si>
  <si>
    <t>Doors</t>
  </si>
  <si>
    <t>Single tall wood door</t>
  </si>
  <si>
    <t>QTY</t>
  </si>
  <si>
    <t>Coat</t>
  </si>
  <si>
    <t>Single standard wood door</t>
  </si>
  <si>
    <t>One and a half wood door</t>
  </si>
  <si>
    <t>Accessories</t>
  </si>
  <si>
    <t>Ft</t>
  </si>
  <si>
    <t>Crownmolding</t>
  </si>
  <si>
    <t>Type door</t>
  </si>
  <si>
    <t>Rooms list</t>
  </si>
  <si>
    <t>Column1</t>
  </si>
  <si>
    <t>Ceiling Sreach</t>
  </si>
  <si>
    <t>Finish Search</t>
  </si>
  <si>
    <t>Primer Search</t>
  </si>
  <si>
    <t>Basement</t>
  </si>
  <si>
    <t>Bathroom</t>
  </si>
  <si>
    <t>Dinning room</t>
  </si>
  <si>
    <t xml:space="preserve">Entrance </t>
  </si>
  <si>
    <t>Garage</t>
  </si>
  <si>
    <t>Half-Bath</t>
  </si>
  <si>
    <t>Hallway</t>
  </si>
  <si>
    <t>Home Office</t>
  </si>
  <si>
    <t>Kitchen</t>
  </si>
  <si>
    <t>Laundry room</t>
  </si>
  <si>
    <t>Library</t>
  </si>
  <si>
    <t>Living room</t>
  </si>
  <si>
    <t>Master bedroom</t>
  </si>
  <si>
    <t>Room 1</t>
  </si>
  <si>
    <t>Room 2</t>
  </si>
  <si>
    <t>Stairwell</t>
  </si>
  <si>
    <t>Storage room</t>
  </si>
  <si>
    <t>Sunroom</t>
  </si>
  <si>
    <t>Walk-in Closet</t>
  </si>
  <si>
    <t>GRAN TOTAL</t>
  </si>
  <si>
    <t>Area Dimension and Materials</t>
  </si>
  <si>
    <t xml:space="preserve"> </t>
  </si>
  <si>
    <t>Commercial</t>
  </si>
  <si>
    <t>Kiara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</si>
</sst>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72"/>
      <color rgb="FF000000"/>
      <name val="Calibri"/>
      <family val="2"/>
    </font>
    <font>
      <sz val="48"/>
      <color theme="4" tint="-0.249977111117893"/>
      <name val="Calibri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2"/>
      <name val="Aptos Narrow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2F0DB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2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9" fontId="1" fillId="2" borderId="0" xfId="0" applyNumberFormat="1" applyFont="1" applyFill="1"/>
    <xf numFmtId="9" fontId="2" fillId="2" borderId="0" xfId="0" applyNumberFormat="1" applyFont="1" applyFill="1"/>
    <xf numFmtId="0" fontId="2" fillId="2" borderId="2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9" fontId="1" fillId="2" borderId="0" xfId="0" applyNumberFormat="1" applyFont="1" applyFill="1" applyAlignment="1">
      <alignment horizontal="centerContinuous"/>
    </xf>
    <xf numFmtId="9" fontId="5" fillId="2" borderId="0" xfId="1" applyNumberFormat="1" applyFill="1" applyAlignment="1">
      <alignment horizontal="centerContinuous"/>
    </xf>
    <xf numFmtId="0" fontId="5" fillId="2" borderId="0" xfId="1" applyFill="1" applyAlignment="1">
      <alignment horizontal="centerContinuous"/>
    </xf>
    <xf numFmtId="0" fontId="6" fillId="2" borderId="0" xfId="0" applyFont="1" applyFill="1"/>
    <xf numFmtId="0" fontId="7" fillId="2" borderId="0" xfId="0" applyFont="1" applyFill="1"/>
    <xf numFmtId="0" fontId="8" fillId="3" borderId="7" xfId="0" applyFont="1" applyFill="1" applyBorder="1" applyAlignment="1">
      <alignment horizontal="centerContinuous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Continuous" vertical="top"/>
    </xf>
    <xf numFmtId="0" fontId="10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/>
    </xf>
    <xf numFmtId="0" fontId="9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8" fillId="2" borderId="6" xfId="0" applyFont="1" applyFill="1" applyBorder="1" applyAlignment="1" applyProtection="1">
      <alignment horizontal="centerContinuous"/>
      <protection locked="0"/>
    </xf>
    <xf numFmtId="0" fontId="2" fillId="3" borderId="16" xfId="0" applyFont="1" applyFill="1" applyBorder="1" applyAlignment="1" applyProtection="1">
      <alignment horizontal="left"/>
      <protection locked="0"/>
    </xf>
    <xf numFmtId="0" fontId="2" fillId="3" borderId="17" xfId="0" applyFont="1" applyFill="1" applyBorder="1" applyAlignment="1" applyProtection="1">
      <alignment horizontal="left"/>
      <protection locked="0"/>
    </xf>
    <xf numFmtId="0" fontId="2" fillId="3" borderId="19" xfId="0" applyFont="1" applyFill="1" applyBorder="1" applyAlignment="1" applyProtection="1">
      <alignment horizontal="left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2" fillId="2" borderId="17" xfId="0" applyFont="1" applyFill="1" applyBorder="1" applyAlignment="1" applyProtection="1">
      <alignment horizontal="center"/>
      <protection locked="0"/>
    </xf>
    <xf numFmtId="0" fontId="2" fillId="2" borderId="19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left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18" xfId="0" applyFont="1" applyFill="1" applyBorder="1" applyAlignment="1" applyProtection="1">
      <alignment horizontal="center"/>
      <protection locked="0"/>
    </xf>
    <xf numFmtId="0" fontId="2" fillId="2" borderId="20" xfId="0" applyFont="1" applyFill="1" applyBorder="1" applyAlignment="1" applyProtection="1">
      <alignment horizontal="center"/>
      <protection locked="0"/>
    </xf>
    <xf numFmtId="0" fontId="2" fillId="3" borderId="6" xfId="0" applyFont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center"/>
      <protection locked="0"/>
    </xf>
    <xf numFmtId="1" fontId="2" fillId="0" borderId="2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8" fillId="2" borderId="0" xfId="0" applyFont="1" applyFill="1" applyAlignment="1">
      <alignment horizontal="centerContinuous"/>
    </xf>
    <xf numFmtId="0" fontId="3" fillId="2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 applyProtection="1">
      <alignment horizontal="left"/>
      <protection locked="0"/>
    </xf>
    <xf numFmtId="0" fontId="3" fillId="2" borderId="2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21" xfId="0" applyFont="1" applyFill="1" applyBorder="1"/>
    <xf numFmtId="0" fontId="1" fillId="2" borderId="7" xfId="0" applyFont="1" applyFill="1" applyBorder="1" applyAlignment="1" applyProtection="1">
      <alignment horizontal="centerContinuous"/>
      <protection locked="0"/>
    </xf>
    <xf numFmtId="9" fontId="8" fillId="2" borderId="6" xfId="0" applyNumberFormat="1" applyFont="1" applyFill="1" applyBorder="1" applyAlignment="1" applyProtection="1">
      <alignment horizontal="centerContinuous" vertical="center"/>
      <protection locked="0"/>
    </xf>
    <xf numFmtId="0" fontId="8" fillId="2" borderId="7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/>
    <xf numFmtId="0" fontId="2" fillId="0" borderId="8" xfId="0" applyFont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4" fillId="3" borderId="7" xfId="0" applyFont="1" applyFill="1" applyBorder="1" applyAlignment="1">
      <alignment horizontal="centerContinuous"/>
    </xf>
    <xf numFmtId="0" fontId="4" fillId="3" borderId="6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Continuous"/>
    </xf>
    <xf numFmtId="0" fontId="10" fillId="2" borderId="0" xfId="0" applyFont="1" applyFill="1" applyAlignment="1">
      <alignment horizontal="centerContinuous"/>
    </xf>
    <xf numFmtId="0" fontId="12" fillId="0" borderId="0" xfId="0" applyFont="1"/>
    <xf numFmtId="0" fontId="9" fillId="2" borderId="0" xfId="0" applyFont="1" applyFill="1"/>
    <xf numFmtId="9" fontId="9" fillId="2" borderId="0" xfId="0" applyNumberFormat="1" applyFont="1" applyFill="1"/>
    <xf numFmtId="0" fontId="13" fillId="2" borderId="0" xfId="0" applyFont="1" applyFill="1"/>
    <xf numFmtId="0" fontId="3" fillId="2" borderId="0" xfId="0" applyFont="1" applyFill="1" applyAlignment="1">
      <alignment horizontal="left"/>
    </xf>
    <xf numFmtId="0" fontId="2" fillId="4" borderId="17" xfId="0" applyFont="1" applyFill="1" applyBorder="1" applyAlignment="1" applyProtection="1">
      <alignment horizontal="left"/>
      <protection locked="0"/>
    </xf>
    <xf numFmtId="0" fontId="3" fillId="4" borderId="8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2F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800100</xdr:colOff>
      <xdr:row>5829</xdr:row>
      <xdr:rowOff>12700</xdr:rowOff>
    </xdr:from>
    <xdr:to>
      <xdr:col>41</xdr:col>
      <xdr:colOff>36048</xdr:colOff>
      <xdr:row>5831</xdr:row>
      <xdr:rowOff>185502</xdr:rowOff>
    </xdr:to>
    <xdr:pic>
      <xdr:nvPicPr>
        <xdr:cNvPr id="5" name="Picture 4" descr="Image result for GREEN BUSINESS BUREAU PLATINUM SE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90959" y="0"/>
          <a:ext cx="886948" cy="579202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182</xdr:col>
      <xdr:colOff>431800</xdr:colOff>
      <xdr:row>5885</xdr:row>
      <xdr:rowOff>114300</xdr:rowOff>
    </xdr:from>
    <xdr:to>
      <xdr:col>183</xdr:col>
      <xdr:colOff>540870</xdr:colOff>
      <xdr:row>5887</xdr:row>
      <xdr:rowOff>77888</xdr:rowOff>
    </xdr:to>
    <xdr:pic>
      <xdr:nvPicPr>
        <xdr:cNvPr id="6" name="Picture 5" descr="Image result for BBB ACCREDITED BUSINESS SE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243542" y="126351"/>
          <a:ext cx="934570" cy="36998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8</xdr:col>
      <xdr:colOff>711729</xdr:colOff>
      <xdr:row>32</xdr:row>
      <xdr:rowOff>192474</xdr:rowOff>
    </xdr:from>
    <xdr:to>
      <xdr:col>12</xdr:col>
      <xdr:colOff>52112</xdr:colOff>
      <xdr:row>49</xdr:row>
      <xdr:rowOff>114398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1929" y="9184074"/>
          <a:ext cx="3886983" cy="337632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1393423</xdr:colOff>
      <xdr:row>0</xdr:row>
      <xdr:rowOff>0</xdr:rowOff>
    </xdr:from>
    <xdr:to>
      <xdr:col>9</xdr:col>
      <xdr:colOff>763114</xdr:colOff>
      <xdr:row>1</xdr:row>
      <xdr:rowOff>776995</xdr:rowOff>
    </xdr:to>
    <xdr:grpSp>
      <xdr:nvGrpSpPr>
        <xdr:cNvPr id="2" name="4 Grupo">
          <a:extLst>
            <a:ext uri="{FF2B5EF4-FFF2-40B4-BE49-F238E27FC236}">
              <a16:creationId xmlns:a16="http://schemas.microsoft.com/office/drawing/2014/main" id="{79F0FCDF-47F7-0246-9849-E5E3200D20EC}"/>
            </a:ext>
          </a:extLst>
        </xdr:cNvPr>
        <xdr:cNvGrpSpPr/>
      </xdr:nvGrpSpPr>
      <xdr:grpSpPr>
        <a:xfrm>
          <a:off x="2493057" y="0"/>
          <a:ext cx="12054203" cy="1195166"/>
          <a:chOff x="247774" y="9318518"/>
          <a:chExt cx="3885412" cy="579202"/>
        </a:xfrm>
      </xdr:grpSpPr>
      <xdr:pic>
        <xdr:nvPicPr>
          <xdr:cNvPr id="3" name="Picture 2" descr="C:\Users\Yarinka\Documents\GreenTech Painting-new\Certificates\CaGBC.png">
            <a:extLst>
              <a:ext uri="{FF2B5EF4-FFF2-40B4-BE49-F238E27FC236}">
                <a16:creationId xmlns:a16="http://schemas.microsoft.com/office/drawing/2014/main" id="{C3507BD6-D24A-D023-232E-832185D6162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0055" y="9379081"/>
            <a:ext cx="473254" cy="4589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4" descr="Image result for GREEN BUSINESS BUREAU PLATINUM SEAL">
            <a:extLst>
              <a:ext uri="{FF2B5EF4-FFF2-40B4-BE49-F238E27FC236}">
                <a16:creationId xmlns:a16="http://schemas.microsoft.com/office/drawing/2014/main" id="{75E1F5D2-CE76-44B3-75FB-6EE3DE1A27B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47774" y="9318518"/>
            <a:ext cx="886948" cy="5792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14" descr="Image result for BBB ACCREDITED BUSINESS SEAL">
            <a:extLst>
              <a:ext uri="{FF2B5EF4-FFF2-40B4-BE49-F238E27FC236}">
                <a16:creationId xmlns:a16="http://schemas.microsoft.com/office/drawing/2014/main" id="{E307670B-8E36-2EFE-3973-C515EA33714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1169998" y="9408444"/>
            <a:ext cx="934570" cy="3699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29">
            <a:extLst>
              <a:ext uri="{FF2B5EF4-FFF2-40B4-BE49-F238E27FC236}">
                <a16:creationId xmlns:a16="http://schemas.microsoft.com/office/drawing/2014/main" id="{F6ACEE24-77D3-4168-BAFB-3FAE0D0E9D2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2639805" y="9410326"/>
            <a:ext cx="627737" cy="3501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Picture 2">
            <a:extLst>
              <a:ext uri="{FF2B5EF4-FFF2-40B4-BE49-F238E27FC236}">
                <a16:creationId xmlns:a16="http://schemas.microsoft.com/office/drawing/2014/main" id="{BEE182CE-4872-1C67-E816-3FF1B997034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3307155" y="9400803"/>
            <a:ext cx="826031" cy="3755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609600</xdr:colOff>
      <xdr:row>0</xdr:row>
      <xdr:rowOff>30238</xdr:rowOff>
    </xdr:from>
    <xdr:to>
      <xdr:col>1</xdr:col>
      <xdr:colOff>1327904</xdr:colOff>
      <xdr:row>2</xdr:row>
      <xdr:rowOff>609589</xdr:rowOff>
    </xdr:to>
    <xdr:grpSp>
      <xdr:nvGrpSpPr>
        <xdr:cNvPr id="10" name="9 Grupo">
          <a:extLst>
            <a:ext uri="{FF2B5EF4-FFF2-40B4-BE49-F238E27FC236}">
              <a16:creationId xmlns:a16="http://schemas.microsoft.com/office/drawing/2014/main" id="{EBD8B36C-CE2C-3F4E-A0A8-2F98E00C2831}"/>
            </a:ext>
          </a:extLst>
        </xdr:cNvPr>
        <xdr:cNvGrpSpPr/>
      </xdr:nvGrpSpPr>
      <xdr:grpSpPr>
        <a:xfrm>
          <a:off x="609600" y="30238"/>
          <a:ext cx="1817938" cy="1802888"/>
          <a:chOff x="5209025" y="429686"/>
          <a:chExt cx="1329288" cy="1674998"/>
        </a:xfrm>
      </xdr:grpSpPr>
      <xdr:pic>
        <xdr:nvPicPr>
          <xdr:cNvPr id="11" name="1 Imagen">
            <a:extLst>
              <a:ext uri="{FF2B5EF4-FFF2-40B4-BE49-F238E27FC236}">
                <a16:creationId xmlns:a16="http://schemas.microsoft.com/office/drawing/2014/main" id="{72951631-4D9E-D715-07B2-3CABFC9B206C}"/>
              </a:ext>
            </a:extLst>
          </xdr:cNvPr>
          <xdr:cNvPicPr/>
        </xdr:nvPicPr>
        <xdr:blipFill rotWithShape="1"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-2"/>
          <a:stretch/>
        </xdr:blipFill>
        <xdr:spPr bwMode="auto">
          <a:xfrm>
            <a:off x="5209025" y="429686"/>
            <a:ext cx="1329288" cy="1374777"/>
          </a:xfrm>
          <a:prstGeom prst="rect">
            <a:avLst/>
          </a:prstGeom>
          <a:noFill/>
        </xdr:spPr>
      </xdr:pic>
      <xdr:pic>
        <xdr:nvPicPr>
          <xdr:cNvPr id="12" name="2 Imagen">
            <a:extLst>
              <a:ext uri="{FF2B5EF4-FFF2-40B4-BE49-F238E27FC236}">
                <a16:creationId xmlns:a16="http://schemas.microsoft.com/office/drawing/2014/main" id="{6F78817C-D5F1-EDEF-A154-F686C4C7E44D}"/>
              </a:ext>
            </a:extLst>
          </xdr:cNvPr>
          <xdr:cNvPicPr/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46924" y="1839254"/>
            <a:ext cx="1057275" cy="26543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6</xdr:col>
      <xdr:colOff>201342</xdr:colOff>
      <xdr:row>3</xdr:row>
      <xdr:rowOff>201342</xdr:rowOff>
    </xdr:from>
    <xdr:to>
      <xdr:col>7</xdr:col>
      <xdr:colOff>421061</xdr:colOff>
      <xdr:row>6</xdr:row>
      <xdr:rowOff>254001</xdr:rowOff>
    </xdr:to>
    <xdr:sp macro="[3]!Generate" textlink="">
      <xdr:nvSpPr>
        <xdr:cNvPr id="13" name="Rectangle 12">
          <a:extLst>
            <a:ext uri="{FF2B5EF4-FFF2-40B4-BE49-F238E27FC236}">
              <a16:creationId xmlns:a16="http://schemas.microsoft.com/office/drawing/2014/main" id="{413760DE-502E-1444-BF3E-60B6A00FD5CF}"/>
            </a:ext>
          </a:extLst>
        </xdr:cNvPr>
        <xdr:cNvSpPr/>
      </xdr:nvSpPr>
      <xdr:spPr>
        <a:xfrm>
          <a:off x="7558049" y="2121830"/>
          <a:ext cx="3843866" cy="889000"/>
        </a:xfrm>
        <a:prstGeom prst="rect">
          <a:avLst/>
        </a:prstGeom>
        <a:solidFill>
          <a:srgbClr val="E2F0DB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Generate QuickBooks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ki3/Desktop/Grad%20Year/MDA%209160/Industry%20Project/GreenTech-Project/Data/Price.xlsx" TargetMode="External"/><Relationship Id="rId1" Type="http://schemas.openxmlformats.org/officeDocument/2006/relationships/externalLinkPath" Target="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ki3/Desktop/Grad%20Year/MDA%209160/Industry%20Project/GreenTech-Project/Data/Customer%20Fill%20Template.xlsm" TargetMode="External"/><Relationship Id="rId1" Type="http://schemas.openxmlformats.org/officeDocument/2006/relationships/externalLinkPath" Target="Customer%20Fill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_Master_Paint"/>
      <sheetName val="Paint_Prices"/>
      <sheetName val="RecoveredExternalLink1"/>
    </sheetNames>
    <sheetDataSet>
      <sheetData sheetId="0">
        <row r="2">
          <cell r="B2" t="str">
            <v>Single standard wood door</v>
          </cell>
        </row>
        <row r="3">
          <cell r="B3" t="str">
            <v>One and a half wood door</v>
          </cell>
        </row>
        <row r="4">
          <cell r="B4" t="str">
            <v>Bi-fold wood door</v>
          </cell>
        </row>
        <row r="5">
          <cell r="B5" t="str">
            <v>Single tall wood door</v>
          </cell>
        </row>
        <row r="6">
          <cell r="B6" t="str">
            <v>One and a half tall wood door</v>
          </cell>
        </row>
        <row r="7">
          <cell r="B7" t="str">
            <v>Bi-fold tall  wood door</v>
          </cell>
        </row>
        <row r="8">
          <cell r="B8" t="str">
            <v>Single Metal man door</v>
          </cell>
        </row>
        <row r="9">
          <cell r="B9" t="str">
            <v>One and a half Metal man door</v>
          </cell>
        </row>
        <row r="10">
          <cell r="B10" t="str">
            <v>Bi-fold Metal man door</v>
          </cell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tes_Master_Paint"/>
      <sheetName val="Paint_Price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"/>
      <sheetName val="List"/>
    </sheetNames>
    <definedNames>
      <definedName name="Generate"/>
    </defined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8F97C9-CC2D-5144-8972-64053AB6831D}" name="Lists3" displayName="Lists3" ref="A1:F25" totalsRowShown="0">
  <autoFilter ref="A1:F25" xr:uid="{E98F97C9-CC2D-5144-8972-64053AB6831D}"/>
  <tableColumns count="6">
    <tableColumn id="1" xr3:uid="{241CCBE3-F95F-BA48-8669-0436CF1DB3B2}" name="Type door"/>
    <tableColumn id="2" xr3:uid="{2DB45FA0-88E0-3146-B6BD-133B6707F8A2}" name="Rooms list"/>
    <tableColumn id="3" xr3:uid="{8CE3A0FE-CC8C-BD41-A5DF-B7241DCEE758}" name="Column1"/>
    <tableColumn id="4" xr3:uid="{6761DA03-01E2-0E43-BEFB-476619EF4163}" name="Ceiling" dataDxfId="2">
      <calculatedColumnFormula>IF(I2="", "", I2)</calculatedColumnFormula>
    </tableColumn>
    <tableColumn id="5" xr3:uid="{9E50F86B-D8CB-AC41-837A-BBC1F7A8B04C}" name="Finish" dataDxfId="1">
      <calculatedColumnFormula>IF(J2="", "", J2)</calculatedColumnFormula>
    </tableColumn>
    <tableColumn id="6" xr3:uid="{FDFC13D2-CDD4-EE4D-8954-6A97E2C6465E}" name="Primer" dataDxfId="0">
      <calculatedColumnFormula>IF(K2="", "", 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greentechpainting.com/" TargetMode="External"/><Relationship Id="rId1" Type="http://schemas.openxmlformats.org/officeDocument/2006/relationships/hyperlink" Target="mailto:customerservice@greentechpainting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53"/>
  <sheetViews>
    <sheetView tabSelected="1" topLeftCell="A3" zoomScale="82" zoomScaleNormal="35" workbookViewId="0">
      <selection activeCell="I7" sqref="I7"/>
    </sheetView>
  </sheetViews>
  <sheetFormatPr baseColWidth="10" defaultRowHeight="16" x14ac:dyDescent="0.2"/>
  <cols>
    <col min="1" max="1" width="14.5" customWidth="1"/>
    <col min="2" max="2" width="23.1640625" customWidth="1"/>
    <col min="4" max="4" width="10.83203125" customWidth="1"/>
    <col min="5" max="5" width="9" bestFit="1" customWidth="1"/>
    <col min="6" max="6" width="28.5" bestFit="1" customWidth="1"/>
    <col min="7" max="7" width="47.5" bestFit="1" customWidth="1"/>
    <col min="8" max="8" width="10.6640625" customWidth="1"/>
    <col min="9" max="9" width="26.1640625" bestFit="1" customWidth="1"/>
    <col min="10" max="10" width="11.1640625" customWidth="1"/>
  </cols>
  <sheetData>
    <row r="1" spans="1:15" ht="33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</row>
    <row r="2" spans="1:15" ht="63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spans="1:15" ht="55" customHeight="1" x14ac:dyDescent="1">
      <c r="A3" s="3"/>
      <c r="B3" s="3"/>
      <c r="C3" s="21" t="s">
        <v>0</v>
      </c>
      <c r="D3" s="20"/>
      <c r="E3" s="3"/>
      <c r="F3" s="3"/>
      <c r="G3" s="3"/>
      <c r="H3" s="3"/>
      <c r="I3" s="3"/>
      <c r="J3" s="16" t="s">
        <v>1</v>
      </c>
      <c r="K3" s="15"/>
      <c r="L3" s="15"/>
      <c r="M3" s="3"/>
      <c r="N3" s="3"/>
      <c r="O3" s="1"/>
    </row>
    <row r="4" spans="1:15" ht="22" customHeight="1" x14ac:dyDescent="0.25">
      <c r="A4" s="36" t="s">
        <v>2</v>
      </c>
      <c r="B4" s="77" t="s">
        <v>90</v>
      </c>
      <c r="C4" s="3"/>
      <c r="D4" s="81" t="s">
        <v>3</v>
      </c>
      <c r="E4" s="80"/>
      <c r="F4" s="3"/>
      <c r="G4" s="3"/>
      <c r="H4" s="3"/>
      <c r="I4" s="3"/>
      <c r="J4" s="40" t="s">
        <v>4</v>
      </c>
      <c r="K4" s="14"/>
      <c r="L4" s="14"/>
      <c r="M4" s="3"/>
      <c r="N4" s="3"/>
      <c r="O4" s="1"/>
    </row>
    <row r="5" spans="1:15" ht="22" customHeight="1" x14ac:dyDescent="0.25">
      <c r="A5" s="36" t="s">
        <v>5</v>
      </c>
      <c r="B5" s="78"/>
      <c r="C5" s="3"/>
      <c r="D5" s="45" t="s">
        <v>89</v>
      </c>
      <c r="E5" s="71"/>
      <c r="F5" s="3"/>
      <c r="G5" s="3"/>
      <c r="H5" s="3"/>
      <c r="I5" s="65"/>
      <c r="J5" s="40" t="s">
        <v>6</v>
      </c>
      <c r="K5" s="14"/>
      <c r="L5" s="14"/>
      <c r="M5" s="3"/>
      <c r="N5" s="3"/>
      <c r="O5" s="1"/>
    </row>
    <row r="6" spans="1:15" ht="22" customHeight="1" x14ac:dyDescent="0.25">
      <c r="A6" s="36" t="s">
        <v>7</v>
      </c>
      <c r="B6" s="78"/>
      <c r="C6" s="70"/>
      <c r="D6" s="82" t="s">
        <v>8</v>
      </c>
      <c r="E6" s="22"/>
      <c r="F6" s="3"/>
      <c r="G6" s="3"/>
      <c r="H6" s="3"/>
      <c r="I6" s="3"/>
      <c r="J6" s="14">
        <v>2265042243</v>
      </c>
      <c r="K6" s="14"/>
      <c r="L6" s="14"/>
      <c r="M6" s="3"/>
      <c r="N6" s="3"/>
      <c r="O6" s="1"/>
    </row>
    <row r="7" spans="1:15" ht="22" customHeight="1" x14ac:dyDescent="0.2">
      <c r="A7" s="36" t="s">
        <v>9</v>
      </c>
      <c r="B7" s="78"/>
      <c r="C7" s="3"/>
      <c r="D7" s="72">
        <v>0.13</v>
      </c>
      <c r="E7" s="73"/>
      <c r="F7" s="3"/>
      <c r="G7" s="3"/>
      <c r="H7" s="9"/>
      <c r="I7" s="9"/>
      <c r="J7" s="18" t="s">
        <v>10</v>
      </c>
      <c r="K7" s="17"/>
      <c r="L7" s="17"/>
      <c r="M7" s="3"/>
      <c r="N7" s="3"/>
      <c r="O7" s="1"/>
    </row>
    <row r="8" spans="1:15" ht="22" customHeight="1" x14ac:dyDescent="0.2">
      <c r="A8" s="36" t="s">
        <v>11</v>
      </c>
      <c r="B8" s="78"/>
      <c r="C8" s="3"/>
      <c r="D8" s="3"/>
      <c r="E8" s="3"/>
      <c r="F8" s="3"/>
      <c r="G8" s="3"/>
      <c r="H8" s="3"/>
      <c r="I8" s="3"/>
      <c r="J8" s="19" t="s">
        <v>12</v>
      </c>
      <c r="K8" s="14"/>
      <c r="L8" s="14"/>
      <c r="M8" s="3"/>
      <c r="N8" s="3"/>
      <c r="O8" s="1"/>
    </row>
    <row r="9" spans="1:15" ht="22" customHeight="1" x14ac:dyDescent="0.2">
      <c r="A9" s="36" t="s">
        <v>13</v>
      </c>
      <c r="B9" s="79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"/>
    </row>
    <row r="10" spans="1:15" ht="52" customHeight="1" x14ac:dyDescent="0.2">
      <c r="A10" s="3"/>
      <c r="B10" s="3"/>
      <c r="C10" s="16" t="s">
        <v>14</v>
      </c>
      <c r="D10" s="15"/>
      <c r="E10" s="14"/>
      <c r="F10" s="14"/>
      <c r="G10" s="14"/>
      <c r="H10" s="39"/>
      <c r="I10" s="39"/>
      <c r="J10" s="38"/>
      <c r="K10" s="15"/>
      <c r="L10" s="15"/>
      <c r="M10" s="14"/>
      <c r="N10" s="14"/>
      <c r="O10" s="1"/>
    </row>
    <row r="11" spans="1:15" ht="21" customHeight="1" x14ac:dyDescent="0.25">
      <c r="A11" s="32" t="s">
        <v>15</v>
      </c>
      <c r="B11" s="31" t="s">
        <v>16</v>
      </c>
      <c r="C11" s="33" t="s">
        <v>87</v>
      </c>
      <c r="D11" s="11"/>
      <c r="E11" s="12"/>
      <c r="F11" s="63"/>
      <c r="G11" s="64"/>
      <c r="H11" s="34" t="s">
        <v>17</v>
      </c>
      <c r="I11" s="66" t="s">
        <v>18</v>
      </c>
      <c r="J11" s="34" t="s">
        <v>19</v>
      </c>
      <c r="K11" s="42" t="s">
        <v>20</v>
      </c>
      <c r="L11" s="12"/>
      <c r="M11" s="3"/>
      <c r="N11" s="3"/>
      <c r="O11" s="1"/>
    </row>
    <row r="12" spans="1:15" ht="17" customHeight="1" x14ac:dyDescent="0.2">
      <c r="A12" s="27"/>
      <c r="B12" s="41" t="s">
        <v>21</v>
      </c>
      <c r="C12" s="4" t="s">
        <v>22</v>
      </c>
      <c r="D12" s="5" t="s">
        <v>23</v>
      </c>
      <c r="E12" s="6" t="s">
        <v>24</v>
      </c>
      <c r="F12" s="5" t="s">
        <v>25</v>
      </c>
      <c r="G12" s="43" t="s">
        <v>26</v>
      </c>
      <c r="H12" s="69" t="s">
        <v>27</v>
      </c>
      <c r="I12" s="68" t="s">
        <v>28</v>
      </c>
      <c r="J12" s="69" t="s">
        <v>27</v>
      </c>
      <c r="K12" s="43" t="s">
        <v>29</v>
      </c>
      <c r="L12" s="44" t="s">
        <v>30</v>
      </c>
      <c r="M12" s="7"/>
      <c r="N12" s="7"/>
      <c r="O12" s="1"/>
    </row>
    <row r="13" spans="1:15" x14ac:dyDescent="0.2">
      <c r="A13" s="23">
        <v>1</v>
      </c>
      <c r="B13" s="46" t="s">
        <v>31</v>
      </c>
      <c r="C13" s="49">
        <v>2</v>
      </c>
      <c r="D13" s="49">
        <v>2</v>
      </c>
      <c r="E13" s="49">
        <v>4</v>
      </c>
      <c r="F13" s="62" t="s">
        <v>32</v>
      </c>
      <c r="G13" s="62" t="s">
        <v>33</v>
      </c>
      <c r="H13" s="52" t="s">
        <v>34</v>
      </c>
      <c r="I13" s="67" t="s">
        <v>35</v>
      </c>
      <c r="J13" s="52" t="s">
        <v>36</v>
      </c>
      <c r="K13" s="62">
        <v>1</v>
      </c>
      <c r="L13" s="53">
        <v>1</v>
      </c>
      <c r="M13" s="3"/>
      <c r="N13" s="3"/>
      <c r="O13" s="1"/>
    </row>
    <row r="14" spans="1:15" x14ac:dyDescent="0.2">
      <c r="A14" s="24">
        <v>2</v>
      </c>
      <c r="B14" s="47" t="s">
        <v>37</v>
      </c>
      <c r="C14" s="50">
        <v>1</v>
      </c>
      <c r="D14" s="50">
        <v>2</v>
      </c>
      <c r="E14" s="50">
        <v>3</v>
      </c>
      <c r="F14" s="50" t="s">
        <v>38</v>
      </c>
      <c r="G14" s="50" t="s">
        <v>33</v>
      </c>
      <c r="H14" s="47" t="s">
        <v>36</v>
      </c>
      <c r="I14" s="47" t="s">
        <v>39</v>
      </c>
      <c r="J14" s="47" t="s">
        <v>34</v>
      </c>
      <c r="K14" s="50">
        <v>1</v>
      </c>
      <c r="L14" s="54">
        <v>1</v>
      </c>
      <c r="M14" s="3"/>
      <c r="N14" s="3"/>
      <c r="O14" s="1"/>
    </row>
    <row r="15" spans="1:15" x14ac:dyDescent="0.2">
      <c r="A15" s="23">
        <v>3</v>
      </c>
      <c r="B15" s="47" t="s">
        <v>40</v>
      </c>
      <c r="C15" s="50">
        <v>2</v>
      </c>
      <c r="D15" s="50">
        <v>5</v>
      </c>
      <c r="E15" s="50">
        <v>6</v>
      </c>
      <c r="F15" s="50" t="s">
        <v>32</v>
      </c>
      <c r="G15" s="50" t="s">
        <v>41</v>
      </c>
      <c r="H15" s="47" t="s">
        <v>34</v>
      </c>
      <c r="I15" s="47" t="s">
        <v>35</v>
      </c>
      <c r="J15" s="47" t="s">
        <v>34</v>
      </c>
      <c r="K15" s="50">
        <v>1</v>
      </c>
      <c r="L15" s="54">
        <v>1</v>
      </c>
      <c r="M15" s="3"/>
      <c r="N15" s="3"/>
      <c r="O15" s="1"/>
    </row>
    <row r="16" spans="1:15" x14ac:dyDescent="0.2">
      <c r="A16" s="23">
        <v>4</v>
      </c>
      <c r="B16" s="47" t="s">
        <v>42</v>
      </c>
      <c r="C16" s="50">
        <v>3</v>
      </c>
      <c r="D16" s="50">
        <v>3</v>
      </c>
      <c r="E16" s="50">
        <v>5</v>
      </c>
      <c r="F16" s="50" t="s">
        <v>38</v>
      </c>
      <c r="G16" s="50" t="s">
        <v>43</v>
      </c>
      <c r="H16" s="47" t="s">
        <v>36</v>
      </c>
      <c r="I16" s="47" t="s">
        <v>35</v>
      </c>
      <c r="J16" s="47" t="s">
        <v>34</v>
      </c>
      <c r="K16" s="50">
        <v>1</v>
      </c>
      <c r="L16" s="54">
        <v>1</v>
      </c>
      <c r="M16" s="3"/>
      <c r="N16" s="3"/>
      <c r="O16" s="1"/>
    </row>
    <row r="17" spans="1:15" x14ac:dyDescent="0.2">
      <c r="A17" s="23">
        <v>5</v>
      </c>
      <c r="B17" s="47" t="s">
        <v>44</v>
      </c>
      <c r="C17" s="50">
        <v>9</v>
      </c>
      <c r="D17" s="50">
        <v>8</v>
      </c>
      <c r="E17" s="50">
        <v>5</v>
      </c>
      <c r="F17" s="50" t="s">
        <v>32</v>
      </c>
      <c r="G17" s="50" t="s">
        <v>41</v>
      </c>
      <c r="H17" s="47" t="s">
        <v>34</v>
      </c>
      <c r="I17" s="47" t="s">
        <v>45</v>
      </c>
      <c r="J17" s="47" t="s">
        <v>36</v>
      </c>
      <c r="K17" s="50">
        <v>1</v>
      </c>
      <c r="L17" s="54">
        <v>1</v>
      </c>
      <c r="M17" s="3"/>
      <c r="N17" s="3"/>
      <c r="O17" s="1"/>
    </row>
    <row r="18" spans="1:15" x14ac:dyDescent="0.2">
      <c r="A18" s="23">
        <v>6</v>
      </c>
      <c r="B18" s="47" t="s">
        <v>42</v>
      </c>
      <c r="C18" s="50">
        <v>5</v>
      </c>
      <c r="D18" s="50">
        <v>6</v>
      </c>
      <c r="E18" s="50">
        <v>7</v>
      </c>
      <c r="F18" s="50" t="s">
        <v>32</v>
      </c>
      <c r="G18" s="50" t="s">
        <v>41</v>
      </c>
      <c r="H18" s="47" t="s">
        <v>34</v>
      </c>
      <c r="I18" s="47" t="s">
        <v>45</v>
      </c>
      <c r="J18" s="47" t="s">
        <v>36</v>
      </c>
      <c r="K18" s="50">
        <v>1</v>
      </c>
      <c r="L18" s="54">
        <v>1</v>
      </c>
      <c r="M18" s="3"/>
      <c r="N18" s="3"/>
      <c r="O18" s="1"/>
    </row>
    <row r="19" spans="1:15" x14ac:dyDescent="0.2">
      <c r="A19" s="23">
        <v>7</v>
      </c>
      <c r="B19" s="47" t="s">
        <v>40</v>
      </c>
      <c r="C19" s="50">
        <v>7</v>
      </c>
      <c r="D19" s="50">
        <v>10</v>
      </c>
      <c r="E19" s="50">
        <v>15</v>
      </c>
      <c r="F19" s="50" t="s">
        <v>32</v>
      </c>
      <c r="G19" s="50" t="s">
        <v>33</v>
      </c>
      <c r="H19" s="47" t="s">
        <v>36</v>
      </c>
      <c r="I19" s="47" t="s">
        <v>45</v>
      </c>
      <c r="J19" s="47" t="s">
        <v>36</v>
      </c>
      <c r="K19" s="50">
        <v>1</v>
      </c>
      <c r="L19" s="54">
        <v>1</v>
      </c>
      <c r="M19" s="3"/>
      <c r="N19" s="3"/>
      <c r="O19" s="1"/>
    </row>
    <row r="20" spans="1:15" x14ac:dyDescent="0.2">
      <c r="A20" s="23">
        <v>8</v>
      </c>
      <c r="B20" s="47" t="s">
        <v>44</v>
      </c>
      <c r="C20" s="50">
        <v>12</v>
      </c>
      <c r="D20" s="50">
        <v>10</v>
      </c>
      <c r="E20" s="50">
        <v>11</v>
      </c>
      <c r="F20" s="50" t="s">
        <v>32</v>
      </c>
      <c r="G20" s="50" t="s">
        <v>41</v>
      </c>
      <c r="H20" s="47" t="s">
        <v>36</v>
      </c>
      <c r="I20" s="47" t="s">
        <v>45</v>
      </c>
      <c r="J20" s="47" t="s">
        <v>36</v>
      </c>
      <c r="K20" s="50">
        <v>1</v>
      </c>
      <c r="L20" s="54">
        <v>1</v>
      </c>
      <c r="M20" s="3"/>
      <c r="N20" s="3"/>
      <c r="O20" s="1"/>
    </row>
    <row r="21" spans="1:15" x14ac:dyDescent="0.2">
      <c r="A21" s="23">
        <v>9</v>
      </c>
      <c r="B21" s="47" t="s">
        <v>42</v>
      </c>
      <c r="C21" s="50">
        <v>7</v>
      </c>
      <c r="D21" s="50">
        <v>9</v>
      </c>
      <c r="E21" s="50">
        <v>12</v>
      </c>
      <c r="F21" s="50" t="s">
        <v>32</v>
      </c>
      <c r="G21" s="50" t="s">
        <v>41</v>
      </c>
      <c r="H21" s="47" t="s">
        <v>36</v>
      </c>
      <c r="I21" s="47" t="s">
        <v>45</v>
      </c>
      <c r="J21" s="47" t="s">
        <v>36</v>
      </c>
      <c r="K21" s="50">
        <v>1</v>
      </c>
      <c r="L21" s="54">
        <v>1</v>
      </c>
      <c r="M21" s="3"/>
      <c r="N21" s="3"/>
      <c r="O21" s="1"/>
    </row>
    <row r="22" spans="1:15" x14ac:dyDescent="0.2">
      <c r="A22" s="23">
        <v>10</v>
      </c>
      <c r="B22" s="47"/>
      <c r="C22" s="50"/>
      <c r="D22" s="50"/>
      <c r="E22" s="50"/>
      <c r="F22" s="50"/>
      <c r="G22" s="50"/>
      <c r="H22" s="47" t="s">
        <v>34</v>
      </c>
      <c r="I22" s="47"/>
      <c r="J22" s="47" t="s">
        <v>34</v>
      </c>
      <c r="K22" s="50"/>
      <c r="L22" s="54"/>
      <c r="M22" s="3"/>
      <c r="N22" s="3"/>
      <c r="O22" s="1"/>
    </row>
    <row r="23" spans="1:15" x14ac:dyDescent="0.2">
      <c r="A23" s="23">
        <v>11</v>
      </c>
      <c r="B23" s="47"/>
      <c r="C23" s="50"/>
      <c r="D23" s="50"/>
      <c r="E23" s="50"/>
      <c r="F23" s="50"/>
      <c r="G23" s="50"/>
      <c r="H23" s="47" t="s">
        <v>34</v>
      </c>
      <c r="I23" s="47"/>
      <c r="J23" s="47" t="s">
        <v>36</v>
      </c>
      <c r="K23" s="50"/>
      <c r="L23" s="54"/>
      <c r="M23" s="3"/>
      <c r="N23" s="3"/>
      <c r="O23" s="1"/>
    </row>
    <row r="24" spans="1:15" x14ac:dyDescent="0.2">
      <c r="A24" s="23">
        <v>12</v>
      </c>
      <c r="B24" s="47"/>
      <c r="C24" s="50"/>
      <c r="D24" s="50"/>
      <c r="E24" s="50"/>
      <c r="F24" s="50"/>
      <c r="G24" s="50"/>
      <c r="H24" s="47" t="s">
        <v>36</v>
      </c>
      <c r="I24" s="47"/>
      <c r="J24" s="47"/>
      <c r="K24" s="50"/>
      <c r="L24" s="54"/>
      <c r="M24" s="3"/>
      <c r="N24" s="3"/>
      <c r="O24" s="1"/>
    </row>
    <row r="25" spans="1:15" x14ac:dyDescent="0.2">
      <c r="A25" s="23">
        <v>13</v>
      </c>
      <c r="B25" s="47"/>
      <c r="C25" s="50"/>
      <c r="D25" s="50"/>
      <c r="E25" s="50"/>
      <c r="F25" s="50"/>
      <c r="G25" s="50"/>
      <c r="H25" s="47" t="s">
        <v>36</v>
      </c>
      <c r="I25" s="89"/>
      <c r="J25" s="47"/>
      <c r="K25" s="50"/>
      <c r="L25" s="54"/>
      <c r="M25" s="3"/>
      <c r="N25" s="3"/>
      <c r="O25" s="1"/>
    </row>
    <row r="26" spans="1:15" x14ac:dyDescent="0.2">
      <c r="A26" s="23">
        <v>14</v>
      </c>
      <c r="B26" s="47"/>
      <c r="C26" s="50"/>
      <c r="D26" s="50"/>
      <c r="E26" s="50"/>
      <c r="F26" s="50"/>
      <c r="G26" s="50"/>
      <c r="H26" s="47" t="s">
        <v>36</v>
      </c>
      <c r="I26" s="47"/>
      <c r="J26" s="47"/>
      <c r="K26" s="50"/>
      <c r="L26" s="54"/>
      <c r="M26" s="3"/>
      <c r="N26" s="3"/>
      <c r="O26" s="1"/>
    </row>
    <row r="27" spans="1:15" x14ac:dyDescent="0.2">
      <c r="A27" s="25">
        <v>15</v>
      </c>
      <c r="B27" s="48"/>
      <c r="C27" s="51"/>
      <c r="D27" s="51"/>
      <c r="E27" s="51"/>
      <c r="F27" s="51"/>
      <c r="G27" s="51"/>
      <c r="H27" s="48" t="s">
        <v>34</v>
      </c>
      <c r="I27" s="48"/>
      <c r="J27" s="48"/>
      <c r="K27" s="51"/>
      <c r="L27" s="55"/>
      <c r="M27" s="3"/>
      <c r="N27" s="3"/>
      <c r="O27" s="1"/>
    </row>
    <row r="28" spans="1:15" hidden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2" t="s">
        <v>46</v>
      </c>
      <c r="L28" s="10">
        <v>0.13</v>
      </c>
      <c r="M28" s="3"/>
      <c r="N28" s="3"/>
      <c r="O28" s="1"/>
    </row>
    <row r="29" spans="1:15" ht="19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85" t="s">
        <v>47</v>
      </c>
      <c r="L29" s="86"/>
      <c r="M29" s="87"/>
      <c r="N29" s="3"/>
      <c r="O29" s="1"/>
    </row>
    <row r="30" spans="1:15" ht="19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85" t="s">
        <v>48</v>
      </c>
      <c r="L30" s="86"/>
      <c r="M30" s="87"/>
      <c r="N30" s="3"/>
      <c r="O30" s="1"/>
    </row>
    <row r="31" spans="1:15" ht="19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85"/>
      <c r="L31" s="85"/>
      <c r="M31" s="87"/>
      <c r="N31" s="3"/>
      <c r="O31" s="1"/>
    </row>
    <row r="32" spans="1:15" ht="30" customHeight="1" x14ac:dyDescent="0.2">
      <c r="A32" s="16"/>
      <c r="B32" s="16" t="s">
        <v>49</v>
      </c>
      <c r="C32" s="29"/>
      <c r="D32" s="29"/>
      <c r="E32" s="29"/>
      <c r="F32" s="13"/>
      <c r="G32" s="13"/>
      <c r="H32" s="13"/>
      <c r="I32" s="13"/>
      <c r="J32" s="28"/>
      <c r="K32" s="13"/>
      <c r="L32" s="13"/>
      <c r="M32" s="13"/>
      <c r="N32" s="13"/>
      <c r="O32" s="1"/>
    </row>
    <row r="33" spans="1:15" x14ac:dyDescent="0.2">
      <c r="A33" s="30"/>
      <c r="B33" s="56" t="s">
        <v>50</v>
      </c>
      <c r="C33" s="8"/>
      <c r="D33" s="59"/>
      <c r="E33" s="8"/>
      <c r="F33" s="76"/>
      <c r="G33" s="13"/>
      <c r="H33" s="13"/>
      <c r="I33" s="13"/>
      <c r="J33" s="13"/>
      <c r="K33" s="13"/>
      <c r="L33" s="13"/>
      <c r="M33" s="13"/>
      <c r="N33" s="13"/>
      <c r="O33" s="1"/>
    </row>
    <row r="34" spans="1:15" x14ac:dyDescent="0.2">
      <c r="A34" s="26"/>
      <c r="B34" s="56" t="s">
        <v>50</v>
      </c>
      <c r="C34" s="26"/>
      <c r="D34" s="59"/>
      <c r="E34" s="26"/>
      <c r="F34" s="76"/>
      <c r="G34" s="13"/>
      <c r="H34" s="13"/>
      <c r="I34" s="13"/>
      <c r="J34" s="13"/>
      <c r="K34" s="13"/>
      <c r="L34" s="13"/>
      <c r="M34" s="13"/>
      <c r="N34" s="13"/>
      <c r="O34" s="1"/>
    </row>
    <row r="35" spans="1:15" x14ac:dyDescent="0.2">
      <c r="A35" s="26"/>
      <c r="B35" s="56" t="s">
        <v>51</v>
      </c>
      <c r="C35" s="26"/>
      <c r="D35" s="59"/>
      <c r="E35" s="26"/>
      <c r="F35" s="76"/>
      <c r="G35" s="13"/>
      <c r="H35" s="13" t="s">
        <v>88</v>
      </c>
      <c r="I35" s="13"/>
      <c r="J35" s="13"/>
      <c r="K35" s="13"/>
      <c r="L35" s="13"/>
      <c r="M35" s="13"/>
      <c r="N35" s="13"/>
      <c r="O35" s="1"/>
    </row>
    <row r="36" spans="1:15" x14ac:dyDescent="0.2">
      <c r="A36" s="26" t="s">
        <v>52</v>
      </c>
      <c r="B36" s="56" t="s">
        <v>53</v>
      </c>
      <c r="C36" s="26" t="s">
        <v>54</v>
      </c>
      <c r="D36" s="59"/>
      <c r="E36" s="26"/>
      <c r="F36" s="76"/>
      <c r="G36" s="13"/>
      <c r="H36" s="13"/>
      <c r="I36" s="13"/>
      <c r="J36" s="13"/>
      <c r="K36" s="13"/>
      <c r="L36" s="13"/>
      <c r="M36" s="13"/>
      <c r="N36" s="13"/>
      <c r="O36" s="1"/>
    </row>
    <row r="37" spans="1:15" x14ac:dyDescent="0.2">
      <c r="A37" s="26"/>
      <c r="B37" s="56" t="s">
        <v>51</v>
      </c>
      <c r="C37" s="26"/>
      <c r="D37" s="59"/>
      <c r="E37" s="26" t="s">
        <v>55</v>
      </c>
      <c r="F37" s="76"/>
      <c r="G37" s="13"/>
      <c r="H37" s="13"/>
      <c r="I37" s="13"/>
      <c r="J37" s="13"/>
      <c r="K37" s="13"/>
      <c r="L37" s="13"/>
      <c r="M37" s="13"/>
      <c r="N37" s="13"/>
      <c r="O37" s="1"/>
    </row>
    <row r="38" spans="1:15" x14ac:dyDescent="0.2">
      <c r="A38" s="26"/>
      <c r="B38" s="56" t="s">
        <v>56</v>
      </c>
      <c r="C38" s="26"/>
      <c r="D38" s="59">
        <v>2</v>
      </c>
      <c r="E38" s="26"/>
      <c r="F38" s="76">
        <v>1</v>
      </c>
      <c r="G38" s="13"/>
      <c r="H38" s="13"/>
      <c r="I38" s="13"/>
      <c r="J38" s="13"/>
      <c r="K38" s="13"/>
      <c r="L38" s="13"/>
      <c r="M38" s="13"/>
      <c r="N38" s="13"/>
      <c r="O38" s="1"/>
    </row>
    <row r="39" spans="1:15" x14ac:dyDescent="0.2">
      <c r="A39" s="26"/>
      <c r="B39" s="56" t="s">
        <v>57</v>
      </c>
      <c r="C39" s="27"/>
      <c r="D39" s="59"/>
      <c r="E39" s="26"/>
      <c r="F39" s="76"/>
      <c r="G39" s="13"/>
      <c r="H39" s="13"/>
      <c r="I39" s="13"/>
      <c r="J39" s="13"/>
      <c r="K39" s="13"/>
      <c r="L39" s="13"/>
      <c r="M39" s="13"/>
      <c r="N39" s="13"/>
      <c r="O39" s="1"/>
    </row>
    <row r="40" spans="1:15" x14ac:dyDescent="0.2">
      <c r="A40" s="35" t="s">
        <v>58</v>
      </c>
      <c r="B40" s="57" t="s">
        <v>19</v>
      </c>
      <c r="C40" s="37" t="s">
        <v>59</v>
      </c>
      <c r="D40" s="60">
        <v>1</v>
      </c>
      <c r="E40" s="26"/>
      <c r="F40" s="76">
        <v>2</v>
      </c>
      <c r="G40" s="13"/>
      <c r="H40" s="13"/>
      <c r="I40" s="13"/>
      <c r="J40" s="13"/>
      <c r="K40" s="13"/>
      <c r="L40" s="13"/>
      <c r="M40" s="13"/>
      <c r="N40" s="13"/>
      <c r="O40" s="1"/>
    </row>
    <row r="41" spans="1:15" x14ac:dyDescent="0.2">
      <c r="A41" s="27"/>
      <c r="B41" s="58" t="s">
        <v>60</v>
      </c>
      <c r="C41" s="27"/>
      <c r="D41" s="59">
        <v>0</v>
      </c>
      <c r="E41" s="27"/>
      <c r="F41" s="76"/>
      <c r="G41" s="13"/>
      <c r="H41" s="13"/>
      <c r="I41" s="13"/>
      <c r="J41" s="13"/>
      <c r="K41" s="13"/>
      <c r="L41" s="13"/>
      <c r="M41" s="13"/>
      <c r="N41" s="13"/>
      <c r="O41" s="1"/>
    </row>
    <row r="42" spans="1:15" x14ac:dyDescent="0.2">
      <c r="A42" s="3"/>
      <c r="B42" s="3"/>
      <c r="C42" s="3"/>
      <c r="D42" s="3"/>
      <c r="E42" s="3"/>
      <c r="F42" s="13"/>
      <c r="G42" s="88"/>
      <c r="H42" s="13"/>
      <c r="I42" s="13"/>
      <c r="J42" s="13"/>
      <c r="K42" s="13"/>
      <c r="L42" s="13"/>
      <c r="M42" s="13"/>
      <c r="N42" s="13"/>
      <c r="O42" s="1"/>
    </row>
    <row r="43" spans="1:15" x14ac:dyDescent="0.2">
      <c r="A43" s="13"/>
      <c r="B43" s="13"/>
      <c r="C43" s="13"/>
      <c r="D43" s="13"/>
      <c r="E43" s="13"/>
      <c r="F43" s="90" t="s">
        <v>86</v>
      </c>
      <c r="G43" s="91"/>
      <c r="H43" s="13"/>
      <c r="I43" s="13"/>
      <c r="J43" s="13"/>
      <c r="K43" s="13"/>
      <c r="L43" s="13"/>
      <c r="M43" s="13"/>
      <c r="N43" s="13"/>
      <c r="O43" s="1"/>
    </row>
    <row r="44" spans="1:15" x14ac:dyDescent="0.2">
      <c r="A44" s="28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"/>
    </row>
    <row r="45" spans="1:1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5" x14ac:dyDescent="0.2">
      <c r="A46" s="8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1:15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5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1:14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</sheetData>
  <dataValidations count="7">
    <dataValidation type="list" showInputMessage="1" showErrorMessage="1" sqref="H13:H27 J13:J27" xr:uid="{00000000-0002-0000-0000-000000000000}">
      <formula1>"Yes,No"</formula1>
    </dataValidation>
    <dataValidation type="list" showInputMessage="1" showErrorMessage="1" sqref="D5" xr:uid="{00000000-0002-0000-0000-000001000000}">
      <formula1>"Commercial,Standard,Special"</formula1>
    </dataValidation>
    <dataValidation type="list" showInputMessage="1" showErrorMessage="1" sqref="B13:B27" xr:uid="{00000000-0002-0000-0000-000002000000}">
      <formula1>INDIRECT("Lists[Rooms list]")</formula1>
    </dataValidation>
    <dataValidation type="list" showInputMessage="1" showErrorMessage="1" sqref="B33:B39" xr:uid="{00000000-0002-0000-0000-000003000000}">
      <formula1>INDIRECT("Lists[Type door]")</formula1>
    </dataValidation>
    <dataValidation type="list" showInputMessage="1" showErrorMessage="1" sqref="F13:F27" xr:uid="{00000000-0002-0000-0000-000004000000}">
      <formula1>INDIRECT("Lists[Primer]")</formula1>
    </dataValidation>
    <dataValidation type="list" showInputMessage="1" showErrorMessage="1" sqref="G13:G27" xr:uid="{00000000-0002-0000-0000-000005000000}">
      <formula1>INDIRECT("Lists[Finish]")</formula1>
    </dataValidation>
    <dataValidation type="list" showInputMessage="1" showErrorMessage="1" sqref="I13:I21 I23:I27" xr:uid="{00000000-0002-0000-0000-000006000000}">
      <formula1>Ceiling</formula1>
    </dataValidation>
  </dataValidations>
  <hyperlinks>
    <hyperlink ref="J7" r:id="rId1" xr:uid="{00000000-0004-0000-0000-000000000000}"/>
    <hyperlink ref="J8" r:id="rId2" xr:uid="{00000000-0004-0000-0000-000001000000}"/>
  </hyperlinks>
  <pageMargins left="0.7" right="0.7" top="0.75" bottom="0.75" header="0.3" footer="0.3"/>
  <pageSetup orientation="portrait" horizontalDpi="0" verticalDpi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5"/>
  <sheetViews>
    <sheetView topLeftCell="B1" zoomScale="82" workbookViewId="0">
      <selection activeCell="H12" sqref="H12"/>
    </sheetView>
  </sheetViews>
  <sheetFormatPr baseColWidth="10" defaultRowHeight="16" x14ac:dyDescent="0.2"/>
  <cols>
    <col min="1" max="1" width="26.6640625" bestFit="1" customWidth="1"/>
    <col min="2" max="2" width="25.33203125" customWidth="1"/>
    <col min="3" max="3" width="0" hidden="1"/>
    <col min="4" max="4" width="30.83203125" customWidth="1"/>
    <col min="5" max="5" width="49" customWidth="1"/>
    <col min="6" max="6" width="31.1640625" customWidth="1"/>
    <col min="10" max="10" width="49.5" bestFit="1" customWidth="1"/>
  </cols>
  <sheetData>
    <row r="1" spans="1:11" x14ac:dyDescent="0.2">
      <c r="A1" s="74" t="s">
        <v>61</v>
      </c>
      <c r="B1" s="75" t="s">
        <v>62</v>
      </c>
      <c r="C1" t="s">
        <v>63</v>
      </c>
      <c r="D1" t="s">
        <v>17</v>
      </c>
      <c r="E1" t="s">
        <v>30</v>
      </c>
      <c r="F1" t="s">
        <v>29</v>
      </c>
      <c r="I1" t="s">
        <v>64</v>
      </c>
      <c r="J1" t="s">
        <v>65</v>
      </c>
      <c r="K1" t="s">
        <v>66</v>
      </c>
    </row>
    <row r="2" spans="1:11" x14ac:dyDescent="0.2">
      <c r="A2" s="61" t="str">
        <f>[1]Rates_Master_Paint!B2</f>
        <v>Single standard wood door</v>
      </c>
      <c r="B2" t="s">
        <v>67</v>
      </c>
      <c r="D2" s="84" t="str">
        <f t="shared" ref="D2:F25" si="0">IF(I2="", "", I2)</f>
        <v>PM 400 0 FL EXTRA Zero Voc Ceiling</v>
      </c>
      <c r="E2" s="84" t="str">
        <f t="shared" si="0"/>
        <v xml:space="preserve">Aura Bath &amp; Spa Matte Base 1 </v>
      </c>
      <c r="F2" s="84" t="str">
        <f t="shared" si="0"/>
        <v>PVA INT PRMR WHITE Drywall Primer</v>
      </c>
      <c r="I2" t="str" cm="1">
        <f t="array" ref="I2:I4">_xlfn._xlws.FILTER([2]!Table_Paint_Unified[Description], ISNUMBER(SEARCH("Ceiling", [2]!Table_Paint_Unified[Application])))</f>
        <v>PM 400 0 FL EXTRA Zero Voc Ceiling</v>
      </c>
      <c r="J2" t="str" cm="1">
        <f t="array" ref="J2:J22">_xlfn._xlws.FILTER([2]!Table_Paint_Unified[Description], ISNUMBER(SEARCH("Finish", [2]!Table_Paint_Unified[Application])))</f>
        <v xml:space="preserve">Aura Bath &amp; Spa Matte Base 1 </v>
      </c>
      <c r="K2" t="str" cm="1">
        <f t="array" ref="K2:K6">_xlfn._xlws.FILTER([2]!Table_Paint_Unified[Description], ISNUMBER(SEARCH("Primer", [2]!Table_Paint_Unified[Application])))</f>
        <v>PVA INT PRMR WHITE Drywall Primer</v>
      </c>
    </row>
    <row r="3" spans="1:11" x14ac:dyDescent="0.2">
      <c r="A3" s="61" t="str">
        <f>[1]Rates_Master_Paint!B3</f>
        <v>One and a half wood door</v>
      </c>
      <c r="B3" t="s">
        <v>68</v>
      </c>
      <c r="D3" t="str">
        <f t="shared" si="0"/>
        <v xml:space="preserve">Waterborne Ceiling Paint White </v>
      </c>
      <c r="E3" t="str">
        <f t="shared" si="0"/>
        <v>PM 200 0 FL EXTRA Pro Mar 200 Zero Voc Contractor grade</v>
      </c>
      <c r="F3" t="str">
        <f t="shared" si="0"/>
        <v>PM 200 0 PRIMER Zero VOC Primer</v>
      </c>
      <c r="I3" t="str">
        <v xml:space="preserve">Waterborne Ceiling Paint White </v>
      </c>
      <c r="J3" t="str">
        <v>PM 200 0 FL EXTRA Pro Mar 200 Zero Voc Contractor grade</v>
      </c>
      <c r="K3" t="str">
        <v>PM 200 0 PRIMER Zero VOC Primer</v>
      </c>
    </row>
    <row r="4" spans="1:11" x14ac:dyDescent="0.2">
      <c r="A4" s="61" t="str">
        <f>[1]Rates_Master_Paint!B4</f>
        <v>Bi-fold wood door</v>
      </c>
      <c r="B4" t="s">
        <v>40</v>
      </c>
      <c r="D4" t="str">
        <f t="shared" si="0"/>
        <v xml:space="preserve">Aura Bath &amp; Spa Matte Base 1 </v>
      </c>
      <c r="E4" t="str">
        <f t="shared" si="0"/>
        <v>PM200 HP 0 EG EW  Pro Mar 200 HP</v>
      </c>
      <c r="F4" t="str">
        <f t="shared" si="0"/>
        <v xml:space="preserve">Step One Primer - White </v>
      </c>
      <c r="I4" t="str">
        <v xml:space="preserve">Aura Bath &amp; Spa Matte Base 1 </v>
      </c>
      <c r="J4" t="str">
        <v>PM200 HP 0 EG EW  Pro Mar 200 HP</v>
      </c>
      <c r="K4" t="str">
        <v xml:space="preserve">Step One Primer - White </v>
      </c>
    </row>
    <row r="5" spans="1:11" x14ac:dyDescent="0.2">
      <c r="A5" s="61" t="str">
        <f>[1]Rates_Master_Paint!B5</f>
        <v>Single tall wood door</v>
      </c>
      <c r="B5" t="s">
        <v>42</v>
      </c>
      <c r="D5" t="str">
        <f t="shared" si="0"/>
        <v/>
      </c>
      <c r="E5" t="str">
        <f t="shared" si="0"/>
        <v>SPR INT SA AIR EW SuperPaint Air</v>
      </c>
      <c r="F5" t="str">
        <f t="shared" si="0"/>
        <v xml:space="preserve">Stix Urethane Acrylic Primer White </v>
      </c>
      <c r="J5" t="str">
        <v>SPR INT SA AIR EW SuperPaint Air</v>
      </c>
      <c r="K5" t="str">
        <v xml:space="preserve">Stix Urethane Acrylic Primer White </v>
      </c>
    </row>
    <row r="6" spans="1:11" x14ac:dyDescent="0.2">
      <c r="A6" s="61" t="str">
        <f>[1]Rates_Master_Paint!B6</f>
        <v>One and a half tall wood door</v>
      </c>
      <c r="B6" t="s">
        <v>69</v>
      </c>
      <c r="D6" t="str">
        <f t="shared" si="0"/>
        <v/>
      </c>
      <c r="E6" t="str">
        <f t="shared" si="0"/>
        <v>SCUFF TUFF MT EW Scuff X Crossover</v>
      </c>
      <c r="F6" t="str">
        <f t="shared" si="0"/>
        <v>Bin Shellac Primer</v>
      </c>
      <c r="J6" t="str">
        <v>SCUFF TUFF MT EW Scuff X Crossover</v>
      </c>
      <c r="K6" t="str">
        <v>Bin Shellac Primer</v>
      </c>
    </row>
    <row r="7" spans="1:11" x14ac:dyDescent="0.2">
      <c r="A7" s="61" t="str">
        <f>[1]Rates_Master_Paint!B7</f>
        <v>Bi-fold tall  wood door</v>
      </c>
      <c r="B7" t="s">
        <v>70</v>
      </c>
      <c r="D7" t="str">
        <f t="shared" si="0"/>
        <v/>
      </c>
      <c r="E7" t="str">
        <f t="shared" si="0"/>
        <v>EMERALD IN FL EXTR Emerald interior</v>
      </c>
      <c r="F7" t="str">
        <f t="shared" si="0"/>
        <v/>
      </c>
      <c r="J7" t="str">
        <v>EMERALD IN FL EXTR Emerald interior</v>
      </c>
    </row>
    <row r="8" spans="1:11" x14ac:dyDescent="0.2">
      <c r="A8" s="61" t="str">
        <f>[1]Rates_Master_Paint!B8</f>
        <v>Single Metal man door</v>
      </c>
      <c r="B8" t="s">
        <v>37</v>
      </c>
      <c r="D8" t="str">
        <f t="shared" si="0"/>
        <v/>
      </c>
      <c r="E8" t="str">
        <f t="shared" si="0"/>
        <v>CLRTP WBSTN WHT CAD Colour Top Ext Stain</v>
      </c>
      <c r="F8" t="str">
        <f t="shared" si="0"/>
        <v/>
      </c>
      <c r="J8" t="str">
        <v>CLRTP WBSTN WHT CAD Colour Top Ext Stain</v>
      </c>
    </row>
    <row r="9" spans="1:11" x14ac:dyDescent="0.2">
      <c r="A9" s="61" t="str">
        <f>[1]Rates_Master_Paint!B9</f>
        <v>One and a half Metal man door</v>
      </c>
      <c r="B9" t="s">
        <v>71</v>
      </c>
      <c r="D9" t="str">
        <f t="shared" si="0"/>
        <v/>
      </c>
      <c r="E9" t="str">
        <f t="shared" si="0"/>
        <v>SPR EXT FL EXTRA SuperPaint Ext</v>
      </c>
      <c r="F9" t="str">
        <f t="shared" si="0"/>
        <v/>
      </c>
      <c r="J9" t="str">
        <v>SPR EXT FL EXTRA SuperPaint Ext</v>
      </c>
    </row>
    <row r="10" spans="1:11" x14ac:dyDescent="0.2">
      <c r="A10" s="61" t="str">
        <f>[1]Rates_Master_Paint!B10</f>
        <v>Bi-fold Metal man door</v>
      </c>
      <c r="B10" t="s">
        <v>72</v>
      </c>
      <c r="D10" t="str">
        <f t="shared" si="0"/>
        <v/>
      </c>
      <c r="E10" t="str">
        <f t="shared" si="0"/>
        <v>LATITUDE EXT FL EW</v>
      </c>
      <c r="F10" t="str">
        <f t="shared" si="0"/>
        <v/>
      </c>
      <c r="J10" t="str">
        <v>LATITUDE EXT FL EW</v>
      </c>
    </row>
    <row r="11" spans="1:11" x14ac:dyDescent="0.2">
      <c r="A11" s="61"/>
      <c r="B11" t="s">
        <v>73</v>
      </c>
      <c r="D11" t="str">
        <f t="shared" si="0"/>
        <v/>
      </c>
      <c r="E11" t="str">
        <f t="shared" si="0"/>
        <v>DURATION FL EXTRA</v>
      </c>
      <c r="F11" t="str">
        <f t="shared" si="0"/>
        <v/>
      </c>
      <c r="J11" t="str">
        <v>DURATION FL EXTRA</v>
      </c>
    </row>
    <row r="12" spans="1:11" x14ac:dyDescent="0.2">
      <c r="B12" t="s">
        <v>74</v>
      </c>
      <c r="D12" t="str">
        <f t="shared" si="0"/>
        <v/>
      </c>
      <c r="E12" t="str">
        <f t="shared" si="0"/>
        <v>LXN XP EW Loxon XP</v>
      </c>
      <c r="F12" t="str">
        <f t="shared" si="0"/>
        <v/>
      </c>
      <c r="J12" t="str">
        <v>LXN XP EW Loxon XP</v>
      </c>
    </row>
    <row r="13" spans="1:11" x14ac:dyDescent="0.2">
      <c r="B13" t="s">
        <v>75</v>
      </c>
      <c r="D13" t="str">
        <f t="shared" si="0"/>
        <v/>
      </c>
      <c r="E13" t="str">
        <f t="shared" si="0"/>
        <v>IND EN HS PUREWHT Industrial Enamel</v>
      </c>
      <c r="F13" t="str">
        <f t="shared" si="0"/>
        <v/>
      </c>
      <c r="J13" t="str">
        <v>IND EN HS PUREWHT Industrial Enamel</v>
      </c>
    </row>
    <row r="14" spans="1:11" x14ac:dyDescent="0.2">
      <c r="B14" t="s">
        <v>76</v>
      </c>
      <c r="D14" t="str">
        <f t="shared" si="0"/>
        <v/>
      </c>
      <c r="E14" t="str">
        <f t="shared" si="0"/>
        <v xml:space="preserve">Ultraspec Interior Low Sheen Base 1 </v>
      </c>
      <c r="F14" t="str">
        <f t="shared" si="0"/>
        <v/>
      </c>
      <c r="J14" t="str">
        <v xml:space="preserve">Ultraspec Interior Low Sheen Base 1 </v>
      </c>
    </row>
    <row r="15" spans="1:11" x14ac:dyDescent="0.2">
      <c r="B15" t="s">
        <v>77</v>
      </c>
      <c r="D15" t="str">
        <f t="shared" si="0"/>
        <v/>
      </c>
      <c r="E15" t="str">
        <f t="shared" si="0"/>
        <v xml:space="preserve">Scuff X Interior Pearl finish base 1 </v>
      </c>
      <c r="F15" t="str">
        <f t="shared" si="0"/>
        <v/>
      </c>
      <c r="J15" t="str">
        <v xml:space="preserve">Scuff X Interior Pearl finish base 1 </v>
      </c>
    </row>
    <row r="16" spans="1:11" x14ac:dyDescent="0.2">
      <c r="B16" t="s">
        <v>78</v>
      </c>
      <c r="D16" t="str">
        <f t="shared" si="0"/>
        <v/>
      </c>
      <c r="E16" t="str">
        <f t="shared" si="0"/>
        <v xml:space="preserve">Regal Select Int Ulti-matte Base 1 </v>
      </c>
      <c r="F16" t="str">
        <f t="shared" si="0"/>
        <v/>
      </c>
      <c r="J16" t="str">
        <v xml:space="preserve">Regal Select Int Ulti-matte Base 1 </v>
      </c>
    </row>
    <row r="17" spans="2:10" x14ac:dyDescent="0.2">
      <c r="B17" t="s">
        <v>79</v>
      </c>
      <c r="D17" t="str">
        <f t="shared" si="0"/>
        <v/>
      </c>
      <c r="E17" t="str">
        <f t="shared" si="0"/>
        <v xml:space="preserve">Advance Wb Alkyd Pearl Base 1 </v>
      </c>
      <c r="F17" t="str">
        <f t="shared" si="0"/>
        <v/>
      </c>
      <c r="J17" t="str">
        <v xml:space="preserve">Advance Wb Alkyd Pearl Base 1 </v>
      </c>
    </row>
    <row r="18" spans="2:10" x14ac:dyDescent="0.2">
      <c r="B18" t="s">
        <v>44</v>
      </c>
      <c r="D18" t="str">
        <f t="shared" si="0"/>
        <v/>
      </c>
      <c r="E18" t="str">
        <f t="shared" si="0"/>
        <v xml:space="preserve">Regal Select Ext Low Lustre Base 1 </v>
      </c>
      <c r="F18" t="str">
        <f t="shared" si="0"/>
        <v/>
      </c>
      <c r="J18" t="str">
        <v xml:space="preserve">Regal Select Ext Low Lustre Base 1 </v>
      </c>
    </row>
    <row r="19" spans="2:10" x14ac:dyDescent="0.2">
      <c r="B19" t="s">
        <v>80</v>
      </c>
      <c r="D19" t="str">
        <f t="shared" si="0"/>
        <v/>
      </c>
      <c r="E19" t="str">
        <f t="shared" si="0"/>
        <v xml:space="preserve">Arborcoat Ext. Wb Stain Solid Base </v>
      </c>
      <c r="F19" t="str">
        <f t="shared" si="0"/>
        <v/>
      </c>
      <c r="J19" t="str">
        <v xml:space="preserve">Arborcoat Ext. Wb Stain Solid Base </v>
      </c>
    </row>
    <row r="20" spans="2:10" x14ac:dyDescent="0.2">
      <c r="B20" t="s">
        <v>81</v>
      </c>
      <c r="D20" t="str">
        <f t="shared" si="0"/>
        <v/>
      </c>
      <c r="E20" t="str">
        <f t="shared" si="0"/>
        <v xml:space="preserve">Aura Exterior Low Lustre Base 1 </v>
      </c>
      <c r="F20" t="str">
        <f t="shared" si="0"/>
        <v/>
      </c>
      <c r="J20" t="str">
        <v xml:space="preserve">Aura Exterior Low Lustre Base 1 </v>
      </c>
    </row>
    <row r="21" spans="2:10" x14ac:dyDescent="0.2">
      <c r="B21" t="s">
        <v>82</v>
      </c>
      <c r="D21" t="str">
        <f t="shared" si="0"/>
        <v/>
      </c>
      <c r="E21" t="str">
        <f t="shared" si="0"/>
        <v>Corotech Command Acrylic Urethane Satin</v>
      </c>
      <c r="F21" t="str">
        <f t="shared" si="0"/>
        <v/>
      </c>
      <c r="J21" t="str">
        <v>Corotech Command Acrylic Urethane Satin</v>
      </c>
    </row>
    <row r="22" spans="2:10" x14ac:dyDescent="0.2">
      <c r="B22" t="s">
        <v>83</v>
      </c>
      <c r="D22" t="str">
        <f t="shared" si="0"/>
        <v/>
      </c>
      <c r="E22" t="str">
        <f t="shared" si="0"/>
        <v xml:space="preserve">Coronado Rust Scat Oil Accent Base </v>
      </c>
      <c r="F22" t="str">
        <f t="shared" si="0"/>
        <v/>
      </c>
      <c r="J22" t="str">
        <v xml:space="preserve">Coronado Rust Scat Oil Accent Base </v>
      </c>
    </row>
    <row r="23" spans="2:10" x14ac:dyDescent="0.2">
      <c r="B23" t="s">
        <v>84</v>
      </c>
      <c r="D23" t="str">
        <f t="shared" si="0"/>
        <v/>
      </c>
      <c r="E23" t="str">
        <f t="shared" si="0"/>
        <v/>
      </c>
      <c r="F23" t="str">
        <f t="shared" si="0"/>
        <v/>
      </c>
    </row>
    <row r="24" spans="2:10" x14ac:dyDescent="0.2">
      <c r="B24" t="s">
        <v>31</v>
      </c>
      <c r="D24" t="str">
        <f t="shared" si="0"/>
        <v/>
      </c>
      <c r="E24" t="str">
        <f t="shared" si="0"/>
        <v/>
      </c>
      <c r="F24" t="str">
        <f t="shared" si="0"/>
        <v/>
      </c>
    </row>
    <row r="25" spans="2:10" x14ac:dyDescent="0.2">
      <c r="B25" t="s">
        <v>85</v>
      </c>
      <c r="D25" t="str">
        <f t="shared" si="0"/>
        <v/>
      </c>
      <c r="E25" t="str">
        <f t="shared" si="0"/>
        <v/>
      </c>
      <c r="F25" t="str">
        <f t="shared" si="0"/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31</vt:i4>
      </vt:variant>
    </vt:vector>
  </HeadingPairs>
  <TitlesOfParts>
    <vt:vector size="33" baseType="lpstr">
      <vt:lpstr>Customer</vt:lpstr>
      <vt:lpstr>List</vt:lpstr>
      <vt:lpstr>AccCoat</vt:lpstr>
      <vt:lpstr>Accessories</vt:lpstr>
      <vt:lpstr>Address</vt:lpstr>
      <vt:lpstr>BaseboardServ</vt:lpstr>
      <vt:lpstr>Ceiling</vt:lpstr>
      <vt:lpstr>CeilingMat</vt:lpstr>
      <vt:lpstr>CeilingServ</vt:lpstr>
      <vt:lpstr>Date</vt:lpstr>
      <vt:lpstr>Depth</vt:lpstr>
      <vt:lpstr>door</vt:lpstr>
      <vt:lpstr>DoorCoat</vt:lpstr>
      <vt:lpstr>Doors</vt:lpstr>
      <vt:lpstr>Email</vt:lpstr>
      <vt:lpstr>Feet</vt:lpstr>
      <vt:lpstr>Finish</vt:lpstr>
      <vt:lpstr>FinishCoats</vt:lpstr>
      <vt:lpstr>Finishpainting</vt:lpstr>
      <vt:lpstr>GranTotal</vt:lpstr>
      <vt:lpstr>Height</vt:lpstr>
      <vt:lpstr>InitEst</vt:lpstr>
      <vt:lpstr>Name</vt:lpstr>
      <vt:lpstr>Names</vt:lpstr>
      <vt:lpstr>Phone</vt:lpstr>
      <vt:lpstr>Primer</vt:lpstr>
      <vt:lpstr>PrimerCoats</vt:lpstr>
      <vt:lpstr>ProjectType</vt:lpstr>
      <vt:lpstr>Quantity</vt:lpstr>
      <vt:lpstr>Quote</vt:lpstr>
      <vt:lpstr>Tax</vt:lpstr>
      <vt:lpstr>TotArea</vt:lpstr>
      <vt:lpstr>Width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Qiduo He</dc:creator>
  <cp:lastModifiedBy>Kiara Burcher</cp:lastModifiedBy>
  <cp:lastPrinted>2025-10-20T00:34:33Z</cp:lastPrinted>
  <dcterms:created xsi:type="dcterms:W3CDTF">2025-10-19T21:02:31Z</dcterms:created>
  <dcterms:modified xsi:type="dcterms:W3CDTF">2025-11-12T22:30:03Z</dcterms:modified>
</cp:coreProperties>
</file>