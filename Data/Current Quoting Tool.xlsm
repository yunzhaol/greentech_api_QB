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iki3/Desktop/Grad Year/MDA 9160/Industry Project/GreenTech-Project/Data/"/>
    </mc:Choice>
  </mc:AlternateContent>
  <xr:revisionPtr revIDLastSave="0" documentId="13_ncr:1_{B24303B9-1E77-734B-AA8F-671F280DDE24}" xr6:coauthVersionLast="47" xr6:coauthVersionMax="47" xr10:uidLastSave="{00000000-0000-0000-0000-000000000000}"/>
  <bookViews>
    <workbookView xWindow="320" yWindow="500" windowWidth="14920" windowHeight="17500" tabRatio="740" xr2:uid="{24653E1A-CAB5-43F2-B393-DFA30BF791C2}"/>
  </bookViews>
  <sheets>
    <sheet name="ESTIMATE FORM" sheetId="12" r:id="rId1"/>
    <sheet name="Areas and paint" sheetId="8" r:id="rId2"/>
    <sheet name="Calculations" sheetId="10" r:id="rId3"/>
    <sheet name="Doors and accesories" sheetId="13" r:id="rId4"/>
    <sheet name="Pivot Finish wall" sheetId="14" r:id="rId5"/>
    <sheet name="Pivot Finish Ceiling" sheetId="15" r:id="rId6"/>
    <sheet name="Paint Unified" sheetId="9" r:id="rId7"/>
    <sheet name="List" sheetId="11" r:id="rId8"/>
  </sheets>
  <definedNames>
    <definedName name="ExternalData_1" localSheetId="6" hidden="1">'Paint Unified'!$A$1:$O$31</definedName>
    <definedName name="_xlnm.Print_Area" localSheetId="0">'ESTIMATE FORM'!$A$1:$K$37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0" l="1"/>
  <c r="D12" i="10"/>
  <c r="E12" i="10"/>
  <c r="E13" i="10"/>
  <c r="I35" i="12"/>
  <c r="I5" i="8"/>
  <c r="R12" i="9"/>
  <c r="T12" i="9"/>
  <c r="S12" i="9"/>
  <c r="U5" i="9"/>
  <c r="U8" i="9"/>
  <c r="U2" i="9"/>
  <c r="R8" i="9"/>
  <c r="J28" i="8"/>
  <c r="I32" i="12"/>
  <c r="C8" i="13"/>
  <c r="F8" i="13" s="1"/>
  <c r="C7" i="13"/>
  <c r="C6" i="13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C23" i="15"/>
  <c r="D23" i="15" s="1"/>
  <c r="M45" i="8" s="1"/>
  <c r="C22" i="15"/>
  <c r="D22" i="15" s="1"/>
  <c r="C21" i="15"/>
  <c r="D21" i="15" s="1"/>
  <c r="M43" i="8" s="1"/>
  <c r="C20" i="15"/>
  <c r="D20" i="15" s="1"/>
  <c r="M42" i="8" s="1"/>
  <c r="C19" i="15"/>
  <c r="L41" i="8" s="1"/>
  <c r="C18" i="15"/>
  <c r="L40" i="8" s="1"/>
  <c r="C17" i="15"/>
  <c r="D17" i="15" s="1"/>
  <c r="M39" i="8" s="1"/>
  <c r="C16" i="15"/>
  <c r="D16" i="15" s="1"/>
  <c r="C15" i="15"/>
  <c r="D15" i="15" s="1"/>
  <c r="M37" i="8" s="1"/>
  <c r="C14" i="15"/>
  <c r="D14" i="15" s="1"/>
  <c r="M36" i="8" s="1"/>
  <c r="C13" i="15"/>
  <c r="L35" i="8" s="1"/>
  <c r="C12" i="15"/>
  <c r="L34" i="8" s="1"/>
  <c r="C11" i="15"/>
  <c r="D11" i="15" s="1"/>
  <c r="M33" i="8" s="1"/>
  <c r="C10" i="15"/>
  <c r="D10" i="15" s="1"/>
  <c r="M32" i="8" s="1"/>
  <c r="C9" i="15"/>
  <c r="D9" i="15" s="1"/>
  <c r="M31" i="8" s="1"/>
  <c r="C8" i="15"/>
  <c r="D8" i="15" s="1"/>
  <c r="M30" i="8" s="1"/>
  <c r="C7" i="15"/>
  <c r="L29" i="8" s="1"/>
  <c r="C6" i="15"/>
  <c r="D6" i="15" s="1"/>
  <c r="M28" i="8" s="1"/>
  <c r="C5" i="15"/>
  <c r="D5" i="15" s="1"/>
  <c r="M27" i="8" s="1"/>
  <c r="C4" i="15"/>
  <c r="D4" i="15" s="1"/>
  <c r="M26" i="8" s="1"/>
  <c r="C23" i="14"/>
  <c r="D23" i="14" s="1"/>
  <c r="J45" i="8" s="1"/>
  <c r="C22" i="14"/>
  <c r="D22" i="14" s="1"/>
  <c r="J44" i="8" s="1"/>
  <c r="C21" i="14"/>
  <c r="D21" i="14" s="1"/>
  <c r="J43" i="8" s="1"/>
  <c r="C20" i="14"/>
  <c r="D20" i="14" s="1"/>
  <c r="C19" i="14"/>
  <c r="I41" i="8" s="1"/>
  <c r="C18" i="14"/>
  <c r="D18" i="14" s="1"/>
  <c r="J40" i="8" s="1"/>
  <c r="C17" i="14"/>
  <c r="D17" i="14" s="1"/>
  <c r="C16" i="14"/>
  <c r="D16" i="14" s="1"/>
  <c r="J38" i="8" s="1"/>
  <c r="C15" i="14"/>
  <c r="D15" i="14" s="1"/>
  <c r="J37" i="8" s="1"/>
  <c r="C14" i="14"/>
  <c r="I36" i="8" s="1"/>
  <c r="C13" i="14"/>
  <c r="D13" i="14" s="1"/>
  <c r="J35" i="8" s="1"/>
  <c r="C12" i="14"/>
  <c r="D12" i="14" s="1"/>
  <c r="J34" i="8" s="1"/>
  <c r="C11" i="14"/>
  <c r="D11" i="14" s="1"/>
  <c r="J33" i="8" s="1"/>
  <c r="C10" i="14"/>
  <c r="D10" i="14" s="1"/>
  <c r="J32" i="8" s="1"/>
  <c r="C9" i="14"/>
  <c r="D9" i="14" s="1"/>
  <c r="J31" i="8" s="1"/>
  <c r="C8" i="14"/>
  <c r="D8" i="14" s="1"/>
  <c r="J30" i="8" s="1"/>
  <c r="C7" i="14"/>
  <c r="D7" i="14" s="1"/>
  <c r="J29" i="8" s="1"/>
  <c r="C6" i="14"/>
  <c r="D6" i="14" s="1"/>
  <c r="C5" i="14"/>
  <c r="D5" i="14" s="1"/>
  <c r="J27" i="8" s="1"/>
  <c r="C4" i="14"/>
  <c r="D4" i="14" s="1"/>
  <c r="J26" i="8" s="1"/>
  <c r="F5" i="8"/>
  <c r="K5" i="8" s="1"/>
  <c r="F6" i="8"/>
  <c r="K6" i="8" s="1"/>
  <c r="F7" i="8"/>
  <c r="E7" i="10" s="1"/>
  <c r="F8" i="8"/>
  <c r="K8" i="8" s="1"/>
  <c r="F9" i="8"/>
  <c r="E9" i="10" s="1"/>
  <c r="F10" i="8"/>
  <c r="K10" i="8" s="1"/>
  <c r="F11" i="8"/>
  <c r="K11" i="8" s="1"/>
  <c r="T8" i="9"/>
  <c r="S8" i="9"/>
  <c r="T5" i="9"/>
  <c r="S5" i="9"/>
  <c r="R5" i="9"/>
  <c r="T2" i="9"/>
  <c r="S2" i="9"/>
  <c r="R2" i="9"/>
  <c r="L44" i="8"/>
  <c r="I42" i="8"/>
  <c r="L38" i="8"/>
  <c r="C47" i="10"/>
  <c r="B47" i="10"/>
  <c r="C46" i="10"/>
  <c r="D46" i="10" s="1"/>
  <c r="B46" i="10"/>
  <c r="I43" i="10"/>
  <c r="P43" i="10" s="1"/>
  <c r="H43" i="10"/>
  <c r="G43" i="10"/>
  <c r="N43" i="10" s="1"/>
  <c r="E43" i="10"/>
  <c r="D43" i="10"/>
  <c r="C43" i="10"/>
  <c r="K43" i="10" s="1"/>
  <c r="B43" i="10"/>
  <c r="I42" i="10"/>
  <c r="H42" i="10"/>
  <c r="G42" i="10"/>
  <c r="N42" i="10" s="1"/>
  <c r="E42" i="10"/>
  <c r="D42" i="10"/>
  <c r="C42" i="10"/>
  <c r="K42" i="10" s="1"/>
  <c r="B42" i="10"/>
  <c r="I41" i="10"/>
  <c r="H41" i="10"/>
  <c r="J41" i="10" s="1"/>
  <c r="G41" i="10"/>
  <c r="N41" i="10" s="1"/>
  <c r="E41" i="10"/>
  <c r="D41" i="10"/>
  <c r="C41" i="10"/>
  <c r="K41" i="10" s="1"/>
  <c r="B41" i="10"/>
  <c r="I40" i="10"/>
  <c r="H40" i="10"/>
  <c r="J40" i="10" s="1"/>
  <c r="G40" i="10"/>
  <c r="E40" i="10"/>
  <c r="D40" i="10"/>
  <c r="C40" i="10"/>
  <c r="K40" i="10" s="1"/>
  <c r="B40" i="10"/>
  <c r="I39" i="10"/>
  <c r="H39" i="10"/>
  <c r="G39" i="10"/>
  <c r="N39" i="10" s="1"/>
  <c r="E39" i="10"/>
  <c r="D39" i="10"/>
  <c r="C39" i="10"/>
  <c r="K39" i="10" s="1"/>
  <c r="B39" i="10"/>
  <c r="I38" i="10"/>
  <c r="H38" i="10"/>
  <c r="G38" i="10"/>
  <c r="N38" i="10" s="1"/>
  <c r="E38" i="10"/>
  <c r="D38" i="10"/>
  <c r="C38" i="10"/>
  <c r="K38" i="10" s="1"/>
  <c r="B38" i="10"/>
  <c r="I37" i="10"/>
  <c r="H37" i="10"/>
  <c r="O37" i="10" s="1"/>
  <c r="G37" i="10"/>
  <c r="N37" i="10" s="1"/>
  <c r="E37" i="10"/>
  <c r="D37" i="10"/>
  <c r="C37" i="10"/>
  <c r="K37" i="10" s="1"/>
  <c r="B37" i="10"/>
  <c r="I36" i="10"/>
  <c r="H36" i="10"/>
  <c r="G36" i="10"/>
  <c r="N36" i="10" s="1"/>
  <c r="E36" i="10"/>
  <c r="D36" i="10"/>
  <c r="C36" i="10"/>
  <c r="K36" i="10" s="1"/>
  <c r="B36" i="10"/>
  <c r="I35" i="10"/>
  <c r="H35" i="10"/>
  <c r="G35" i="10"/>
  <c r="N35" i="10" s="1"/>
  <c r="E35" i="10"/>
  <c r="D35" i="10"/>
  <c r="C35" i="10"/>
  <c r="K35" i="10" s="1"/>
  <c r="B35" i="10"/>
  <c r="I34" i="10"/>
  <c r="P34" i="10" s="1"/>
  <c r="H34" i="10"/>
  <c r="G34" i="10"/>
  <c r="N34" i="10" s="1"/>
  <c r="E34" i="10"/>
  <c r="D34" i="10"/>
  <c r="C34" i="10"/>
  <c r="K34" i="10" s="1"/>
  <c r="B34" i="10"/>
  <c r="N33" i="10"/>
  <c r="I33" i="10"/>
  <c r="H33" i="10"/>
  <c r="G33" i="10"/>
  <c r="E33" i="10"/>
  <c r="D33" i="10"/>
  <c r="C33" i="10"/>
  <c r="K33" i="10" s="1"/>
  <c r="B33" i="10"/>
  <c r="I32" i="10"/>
  <c r="H32" i="10"/>
  <c r="G32" i="10"/>
  <c r="N32" i="10" s="1"/>
  <c r="E32" i="10"/>
  <c r="D32" i="10"/>
  <c r="C32" i="10"/>
  <c r="K32" i="10" s="1"/>
  <c r="B32" i="10"/>
  <c r="I31" i="10"/>
  <c r="H31" i="10"/>
  <c r="G31" i="10"/>
  <c r="N31" i="10" s="1"/>
  <c r="E31" i="10"/>
  <c r="D31" i="10"/>
  <c r="F31" i="10" s="1"/>
  <c r="C31" i="10"/>
  <c r="K31" i="10" s="1"/>
  <c r="B31" i="10"/>
  <c r="I30" i="10"/>
  <c r="P30" i="10" s="1"/>
  <c r="H30" i="10"/>
  <c r="G30" i="10"/>
  <c r="N30" i="10" s="1"/>
  <c r="E30" i="10"/>
  <c r="D30" i="10"/>
  <c r="C30" i="10"/>
  <c r="K30" i="10" s="1"/>
  <c r="B30" i="10"/>
  <c r="I29" i="10"/>
  <c r="H29" i="10"/>
  <c r="J29" i="10" s="1"/>
  <c r="G29" i="10"/>
  <c r="N29" i="10" s="1"/>
  <c r="F29" i="10"/>
  <c r="E29" i="10"/>
  <c r="M29" i="10" s="1"/>
  <c r="D29" i="10"/>
  <c r="C29" i="10"/>
  <c r="K29" i="10" s="1"/>
  <c r="B29" i="10"/>
  <c r="I28" i="10"/>
  <c r="P28" i="10" s="1"/>
  <c r="H28" i="10"/>
  <c r="G28" i="10"/>
  <c r="N28" i="10" s="1"/>
  <c r="E28" i="10"/>
  <c r="D28" i="10"/>
  <c r="C28" i="10"/>
  <c r="K28" i="10" s="1"/>
  <c r="B28" i="10"/>
  <c r="I27" i="10"/>
  <c r="P27" i="10" s="1"/>
  <c r="H27" i="10"/>
  <c r="G27" i="10"/>
  <c r="N27" i="10" s="1"/>
  <c r="E27" i="10"/>
  <c r="D27" i="10"/>
  <c r="C27" i="10"/>
  <c r="K27" i="10" s="1"/>
  <c r="B27" i="10"/>
  <c r="I26" i="10"/>
  <c r="H26" i="10"/>
  <c r="G26" i="10"/>
  <c r="N26" i="10" s="1"/>
  <c r="E26" i="10"/>
  <c r="D26" i="10"/>
  <c r="C26" i="10"/>
  <c r="K26" i="10" s="1"/>
  <c r="B26" i="10"/>
  <c r="I25" i="10"/>
  <c r="H25" i="10"/>
  <c r="G25" i="10"/>
  <c r="N25" i="10" s="1"/>
  <c r="E25" i="10"/>
  <c r="D25" i="10"/>
  <c r="C25" i="10"/>
  <c r="K25" i="10" s="1"/>
  <c r="B25" i="10"/>
  <c r="I24" i="10"/>
  <c r="P24" i="10" s="1"/>
  <c r="H24" i="10"/>
  <c r="G24" i="10"/>
  <c r="N24" i="10" s="1"/>
  <c r="E24" i="10"/>
  <c r="D24" i="10"/>
  <c r="C24" i="10"/>
  <c r="K24" i="10" s="1"/>
  <c r="B24" i="10"/>
  <c r="I23" i="10"/>
  <c r="H23" i="10"/>
  <c r="O23" i="10" s="1"/>
  <c r="G23" i="10"/>
  <c r="N23" i="10" s="1"/>
  <c r="E23" i="10"/>
  <c r="D23" i="10"/>
  <c r="C23" i="10"/>
  <c r="K23" i="10" s="1"/>
  <c r="B23" i="10"/>
  <c r="I22" i="10"/>
  <c r="H22" i="10"/>
  <c r="G22" i="10"/>
  <c r="N22" i="10" s="1"/>
  <c r="E22" i="10"/>
  <c r="D22" i="10"/>
  <c r="F22" i="10" s="1"/>
  <c r="C22" i="10"/>
  <c r="K22" i="10" s="1"/>
  <c r="B22" i="10"/>
  <c r="I21" i="10"/>
  <c r="H21" i="10"/>
  <c r="J21" i="10" s="1"/>
  <c r="G21" i="10"/>
  <c r="N21" i="10" s="1"/>
  <c r="E21" i="10"/>
  <c r="M21" i="10" s="1"/>
  <c r="D21" i="10"/>
  <c r="C21" i="10"/>
  <c r="K21" i="10" s="1"/>
  <c r="B21" i="10"/>
  <c r="I20" i="10"/>
  <c r="H20" i="10"/>
  <c r="G20" i="10"/>
  <c r="N20" i="10" s="1"/>
  <c r="E20" i="10"/>
  <c r="M20" i="10" s="1"/>
  <c r="D20" i="10"/>
  <c r="C20" i="10"/>
  <c r="K20" i="10" s="1"/>
  <c r="B20" i="10"/>
  <c r="K19" i="10"/>
  <c r="G19" i="10"/>
  <c r="N19" i="10" s="1"/>
  <c r="C19" i="10"/>
  <c r="G18" i="10"/>
  <c r="N18" i="10" s="1"/>
  <c r="C18" i="10"/>
  <c r="K18" i="10" s="1"/>
  <c r="G17" i="10"/>
  <c r="N17" i="10" s="1"/>
  <c r="C17" i="10"/>
  <c r="K17" i="10" s="1"/>
  <c r="G16" i="10"/>
  <c r="N16" i="10" s="1"/>
  <c r="C16" i="10"/>
  <c r="K16" i="10" s="1"/>
  <c r="G15" i="10"/>
  <c r="N15" i="10" s="1"/>
  <c r="C15" i="10"/>
  <c r="K15" i="10" s="1"/>
  <c r="G14" i="10"/>
  <c r="N14" i="10" s="1"/>
  <c r="C14" i="10"/>
  <c r="K14" i="10" s="1"/>
  <c r="G13" i="10"/>
  <c r="N13" i="10" s="1"/>
  <c r="C13" i="10"/>
  <c r="K13" i="10" s="1"/>
  <c r="G12" i="10"/>
  <c r="N12" i="10" s="1"/>
  <c r="C12" i="10"/>
  <c r="K12" i="10" s="1"/>
  <c r="G11" i="10"/>
  <c r="N11" i="10" s="1"/>
  <c r="C11" i="10"/>
  <c r="K11" i="10" s="1"/>
  <c r="G10" i="10"/>
  <c r="N10" i="10" s="1"/>
  <c r="C10" i="10"/>
  <c r="K10" i="10" s="1"/>
  <c r="G9" i="10"/>
  <c r="N9" i="10" s="1"/>
  <c r="C9" i="10"/>
  <c r="G8" i="10"/>
  <c r="C8" i="10"/>
  <c r="K8" i="10" s="1"/>
  <c r="G7" i="10"/>
  <c r="N7" i="10" s="1"/>
  <c r="C7" i="10"/>
  <c r="K7" i="10" s="1"/>
  <c r="G6" i="10"/>
  <c r="N6" i="10" s="1"/>
  <c r="C6" i="10"/>
  <c r="K6" i="10" s="1"/>
  <c r="G5" i="10"/>
  <c r="N5" i="10" s="1"/>
  <c r="C5" i="10"/>
  <c r="K5" i="10" s="1"/>
  <c r="K4" i="10"/>
  <c r="F11" i="13"/>
  <c r="C11" i="13"/>
  <c r="F10" i="13"/>
  <c r="C10" i="13"/>
  <c r="F9" i="13"/>
  <c r="C9" i="13"/>
  <c r="F7" i="13"/>
  <c r="F6" i="13"/>
  <c r="F5" i="13"/>
  <c r="C5" i="13"/>
  <c r="L4" i="13"/>
  <c r="I4" i="13"/>
  <c r="F4" i="13"/>
  <c r="C4" i="13"/>
  <c r="L3" i="13"/>
  <c r="I3" i="13"/>
  <c r="F3" i="13"/>
  <c r="C3" i="13"/>
  <c r="K49" i="8"/>
  <c r="H49" i="8"/>
  <c r="L45" i="8"/>
  <c r="I45" i="8"/>
  <c r="I44" i="8"/>
  <c r="I43" i="8"/>
  <c r="L42" i="8"/>
  <c r="L39" i="8"/>
  <c r="L37" i="8"/>
  <c r="L36" i="8"/>
  <c r="L33" i="8"/>
  <c r="L31" i="8"/>
  <c r="L30" i="8"/>
  <c r="K27" i="8"/>
  <c r="H27" i="8"/>
  <c r="K26" i="8"/>
  <c r="H26" i="8"/>
  <c r="C23" i="8"/>
  <c r="U20" i="8"/>
  <c r="T20" i="8"/>
  <c r="U19" i="8"/>
  <c r="I19" i="8"/>
  <c r="G19" i="8"/>
  <c r="F19" i="8"/>
  <c r="K19" i="8" s="1"/>
  <c r="E19" i="8"/>
  <c r="J19" i="8" s="1"/>
  <c r="D19" i="8"/>
  <c r="B19" i="8"/>
  <c r="B19" i="10" s="1"/>
  <c r="U18" i="8"/>
  <c r="K18" i="8"/>
  <c r="I18" i="8"/>
  <c r="G18" i="8"/>
  <c r="F18" i="8"/>
  <c r="E18" i="8"/>
  <c r="J18" i="8" s="1"/>
  <c r="D18" i="8"/>
  <c r="E18" i="10" s="1"/>
  <c r="B18" i="8"/>
  <c r="B18" i="10" s="1"/>
  <c r="U17" i="8"/>
  <c r="I17" i="8"/>
  <c r="G17" i="8"/>
  <c r="F17" i="8"/>
  <c r="K17" i="8" s="1"/>
  <c r="I17" i="10" s="1"/>
  <c r="E17" i="8"/>
  <c r="J17" i="8" s="1"/>
  <c r="D17" i="8"/>
  <c r="E17" i="10" s="1"/>
  <c r="B17" i="8"/>
  <c r="B17" i="10" s="1"/>
  <c r="U16" i="8"/>
  <c r="I16" i="8"/>
  <c r="G16" i="8"/>
  <c r="F16" i="8"/>
  <c r="K16" i="8" s="1"/>
  <c r="E16" i="8"/>
  <c r="J16" i="8" s="1"/>
  <c r="D16" i="8"/>
  <c r="B16" i="8"/>
  <c r="B16" i="10" s="1"/>
  <c r="U15" i="8"/>
  <c r="I15" i="8"/>
  <c r="G15" i="8"/>
  <c r="F15" i="8"/>
  <c r="K15" i="8" s="1"/>
  <c r="E15" i="8"/>
  <c r="D15" i="10" s="1"/>
  <c r="D15" i="8"/>
  <c r="B15" i="8"/>
  <c r="B15" i="10" s="1"/>
  <c r="U14" i="8"/>
  <c r="I14" i="8"/>
  <c r="G14" i="8"/>
  <c r="F14" i="8"/>
  <c r="K14" i="8" s="1"/>
  <c r="E14" i="8"/>
  <c r="J14" i="8" s="1"/>
  <c r="D14" i="8"/>
  <c r="E14" i="10" s="1"/>
  <c r="B14" i="8"/>
  <c r="B14" i="10" s="1"/>
  <c r="U13" i="8"/>
  <c r="I13" i="8"/>
  <c r="G13" i="8"/>
  <c r="F13" i="8"/>
  <c r="K13" i="8" s="1"/>
  <c r="E13" i="8"/>
  <c r="J13" i="8" s="1"/>
  <c r="D13" i="8"/>
  <c r="B13" i="8"/>
  <c r="B13" i="10" s="1"/>
  <c r="U12" i="8"/>
  <c r="I12" i="8"/>
  <c r="G12" i="8"/>
  <c r="F12" i="8"/>
  <c r="K12" i="8" s="1"/>
  <c r="E12" i="8"/>
  <c r="J12" i="8" s="1"/>
  <c r="D12" i="8"/>
  <c r="B12" i="8"/>
  <c r="B12" i="10" s="1"/>
  <c r="U11" i="8"/>
  <c r="I11" i="8"/>
  <c r="G11" i="8"/>
  <c r="E11" i="8"/>
  <c r="J11" i="8" s="1"/>
  <c r="H11" i="10" s="1"/>
  <c r="D11" i="8"/>
  <c r="B11" i="8"/>
  <c r="B11" i="10" s="1"/>
  <c r="U10" i="8"/>
  <c r="I10" i="8"/>
  <c r="G10" i="8"/>
  <c r="E10" i="8"/>
  <c r="D10" i="10" s="1"/>
  <c r="D10" i="8"/>
  <c r="B10" i="8"/>
  <c r="B10" i="10" s="1"/>
  <c r="U9" i="8"/>
  <c r="I9" i="8"/>
  <c r="G9" i="8"/>
  <c r="E9" i="8"/>
  <c r="D9" i="10" s="1"/>
  <c r="D9" i="8"/>
  <c r="B9" i="8"/>
  <c r="B9" i="10" s="1"/>
  <c r="U8" i="8"/>
  <c r="I8" i="8"/>
  <c r="G8" i="8"/>
  <c r="E8" i="8"/>
  <c r="J8" i="8" s="1"/>
  <c r="D8" i="8"/>
  <c r="B8" i="8"/>
  <c r="B8" i="10" s="1"/>
  <c r="U7" i="8"/>
  <c r="I7" i="8"/>
  <c r="G7" i="8"/>
  <c r="E7" i="8"/>
  <c r="J7" i="8" s="1"/>
  <c r="D7" i="8"/>
  <c r="B7" i="8"/>
  <c r="B7" i="10" s="1"/>
  <c r="U6" i="8"/>
  <c r="I6" i="8"/>
  <c r="G6" i="8"/>
  <c r="E6" i="8"/>
  <c r="D6" i="10" s="1"/>
  <c r="D6" i="8"/>
  <c r="B6" i="8"/>
  <c r="B6" i="10" s="1"/>
  <c r="U5" i="8"/>
  <c r="G5" i="8"/>
  <c r="E5" i="8"/>
  <c r="J5" i="8" s="1"/>
  <c r="D5" i="8"/>
  <c r="B5" i="8"/>
  <c r="B5" i="10" s="1"/>
  <c r="I36" i="12"/>
  <c r="T26" i="8" s="1"/>
  <c r="I34" i="12"/>
  <c r="I33" i="12"/>
  <c r="I31" i="12"/>
  <c r="E5" i="10" l="1"/>
  <c r="E8" i="10"/>
  <c r="D8" i="10"/>
  <c r="D13" i="10"/>
  <c r="M13" i="8" s="1"/>
  <c r="D5" i="10"/>
  <c r="D11" i="10"/>
  <c r="D7" i="10"/>
  <c r="E6" i="10"/>
  <c r="N6" i="8" s="1"/>
  <c r="E11" i="10"/>
  <c r="I13" i="10"/>
  <c r="Q13" i="8" s="1"/>
  <c r="L26" i="10"/>
  <c r="L25" i="10"/>
  <c r="L24" i="10"/>
  <c r="L36" i="10"/>
  <c r="L23" i="10"/>
  <c r="L29" i="10"/>
  <c r="L30" i="10"/>
  <c r="L35" i="10"/>
  <c r="L42" i="10"/>
  <c r="L32" i="10"/>
  <c r="L20" i="10"/>
  <c r="L28" i="10"/>
  <c r="L40" i="10"/>
  <c r="L34" i="10"/>
  <c r="L27" i="10"/>
  <c r="L39" i="10"/>
  <c r="L33" i="10"/>
  <c r="L38" i="10"/>
  <c r="T27" i="8"/>
  <c r="I12" i="10"/>
  <c r="P12" i="10" s="1"/>
  <c r="D19" i="10"/>
  <c r="P42" i="10"/>
  <c r="O24" i="10"/>
  <c r="O39" i="10"/>
  <c r="L41" i="10"/>
  <c r="J34" i="10"/>
  <c r="J20" i="10"/>
  <c r="L43" i="10"/>
  <c r="P31" i="10"/>
  <c r="P36" i="10"/>
  <c r="F21" i="10"/>
  <c r="F37" i="10"/>
  <c r="P40" i="10"/>
  <c r="P23" i="10"/>
  <c r="J26" i="10"/>
  <c r="P29" i="10"/>
  <c r="O35" i="10"/>
  <c r="J38" i="10"/>
  <c r="F38" i="10"/>
  <c r="P26" i="10"/>
  <c r="O22" i="10"/>
  <c r="O26" i="10"/>
  <c r="O32" i="10"/>
  <c r="P41" i="10"/>
  <c r="F43" i="10"/>
  <c r="M25" i="10"/>
  <c r="P22" i="10"/>
  <c r="J25" i="10"/>
  <c r="J28" i="10"/>
  <c r="P37" i="10"/>
  <c r="P38" i="10"/>
  <c r="L22" i="10"/>
  <c r="O31" i="10"/>
  <c r="L37" i="10"/>
  <c r="M28" i="10"/>
  <c r="P35" i="10"/>
  <c r="P21" i="10"/>
  <c r="O25" i="10"/>
  <c r="L31" i="10"/>
  <c r="M33" i="10"/>
  <c r="O34" i="10"/>
  <c r="F39" i="10"/>
  <c r="F42" i="10"/>
  <c r="P20" i="10"/>
  <c r="P32" i="10"/>
  <c r="L21" i="10"/>
  <c r="F23" i="10"/>
  <c r="F41" i="10"/>
  <c r="O27" i="10"/>
  <c r="O30" i="10"/>
  <c r="J33" i="10"/>
  <c r="J42" i="10"/>
  <c r="P13" i="10"/>
  <c r="J30" i="10"/>
  <c r="J36" i="10"/>
  <c r="M27" i="10"/>
  <c r="M35" i="10"/>
  <c r="O20" i="10"/>
  <c r="F26" i="10"/>
  <c r="F27" i="10"/>
  <c r="F34" i="10"/>
  <c r="F35" i="10"/>
  <c r="J22" i="10"/>
  <c r="M40" i="10"/>
  <c r="O21" i="10"/>
  <c r="F25" i="10"/>
  <c r="O28" i="10"/>
  <c r="F33" i="10"/>
  <c r="O40" i="10"/>
  <c r="M24" i="10"/>
  <c r="O29" i="10"/>
  <c r="M32" i="10"/>
  <c r="M39" i="10"/>
  <c r="N40" i="10"/>
  <c r="O41" i="10"/>
  <c r="J24" i="10"/>
  <c r="P25" i="10"/>
  <c r="J32" i="10"/>
  <c r="P33" i="10"/>
  <c r="M22" i="10"/>
  <c r="M23" i="10"/>
  <c r="M31" i="10"/>
  <c r="F30" i="10"/>
  <c r="P39" i="10"/>
  <c r="O43" i="10"/>
  <c r="O33" i="10"/>
  <c r="M36" i="10"/>
  <c r="J37" i="10"/>
  <c r="M37" i="10"/>
  <c r="M41" i="10"/>
  <c r="F20" i="10"/>
  <c r="J23" i="10"/>
  <c r="M26" i="10"/>
  <c r="J27" i="10"/>
  <c r="M30" i="10"/>
  <c r="J31" i="10"/>
  <c r="M34" i="10"/>
  <c r="J35" i="10"/>
  <c r="M38" i="10"/>
  <c r="J39" i="10"/>
  <c r="M42" i="10"/>
  <c r="J43" i="10"/>
  <c r="D47" i="10"/>
  <c r="F24" i="10"/>
  <c r="F36" i="10"/>
  <c r="F40" i="10"/>
  <c r="O42" i="10"/>
  <c r="F32" i="10"/>
  <c r="M43" i="10"/>
  <c r="O38" i="10"/>
  <c r="F28" i="10"/>
  <c r="O36" i="10"/>
  <c r="I10" i="10"/>
  <c r="P10" i="10" s="1"/>
  <c r="N9" i="8"/>
  <c r="D14" i="10"/>
  <c r="L14" i="10" s="1"/>
  <c r="E16" i="10"/>
  <c r="N16" i="8" s="1"/>
  <c r="G20" i="8"/>
  <c r="T25" i="8" s="1"/>
  <c r="I19" i="10"/>
  <c r="Q19" i="8" s="1"/>
  <c r="H13" i="10"/>
  <c r="M6" i="8"/>
  <c r="M10" i="8"/>
  <c r="E15" i="10"/>
  <c r="N15" i="8" s="1"/>
  <c r="I18" i="10"/>
  <c r="P18" i="10" s="1"/>
  <c r="N17" i="8"/>
  <c r="M17" i="10"/>
  <c r="L19" i="10"/>
  <c r="H17" i="10"/>
  <c r="M13" i="10"/>
  <c r="N13" i="8"/>
  <c r="Q17" i="8"/>
  <c r="P17" i="10"/>
  <c r="I14" i="10"/>
  <c r="N18" i="8"/>
  <c r="M18" i="10"/>
  <c r="M14" i="10"/>
  <c r="F14" i="10"/>
  <c r="L14" i="8" s="1"/>
  <c r="R14" i="8" s="1"/>
  <c r="N14" i="8"/>
  <c r="I15" i="10"/>
  <c r="M12" i="10"/>
  <c r="N12" i="8"/>
  <c r="I16" i="10"/>
  <c r="M15" i="10"/>
  <c r="L15" i="10"/>
  <c r="F15" i="10"/>
  <c r="L15" i="8" s="1"/>
  <c r="R15" i="8" s="1"/>
  <c r="D18" i="10"/>
  <c r="H5" i="10"/>
  <c r="O5" i="10" s="1"/>
  <c r="I11" i="10"/>
  <c r="J11" i="10" s="1"/>
  <c r="O11" i="8" s="1"/>
  <c r="S11" i="8" s="1"/>
  <c r="J15" i="8"/>
  <c r="H15" i="10" s="1"/>
  <c r="H14" i="10"/>
  <c r="H18" i="10"/>
  <c r="E19" i="10"/>
  <c r="F19" i="10" s="1"/>
  <c r="L19" i="8" s="1"/>
  <c r="I5" i="10"/>
  <c r="Q5" i="8" s="1"/>
  <c r="N7" i="8"/>
  <c r="D16" i="10"/>
  <c r="M16" i="8" s="1"/>
  <c r="H19" i="10"/>
  <c r="M5" i="10"/>
  <c r="D17" i="10"/>
  <c r="M17" i="8" s="1"/>
  <c r="H12" i="10"/>
  <c r="H16" i="10"/>
  <c r="K9" i="8"/>
  <c r="I9" i="10" s="1"/>
  <c r="P9" i="10" s="1"/>
  <c r="N10" i="8"/>
  <c r="M19" i="8"/>
  <c r="M15" i="8"/>
  <c r="D12" i="15"/>
  <c r="M34" i="8" s="1"/>
  <c r="L28" i="8"/>
  <c r="D7" i="15"/>
  <c r="M29" i="8" s="1"/>
  <c r="D13" i="15"/>
  <c r="M35" i="8" s="1"/>
  <c r="D19" i="15"/>
  <c r="M41" i="8" s="1"/>
  <c r="D18" i="15"/>
  <c r="M40" i="8" s="1"/>
  <c r="I39" i="8"/>
  <c r="L32" i="8"/>
  <c r="M44" i="8"/>
  <c r="M38" i="8"/>
  <c r="L43" i="8"/>
  <c r="I38" i="8"/>
  <c r="I37" i="8"/>
  <c r="I40" i="8"/>
  <c r="D19" i="14"/>
  <c r="J41" i="8" s="1"/>
  <c r="I35" i="8"/>
  <c r="D14" i="14"/>
  <c r="J36" i="8" s="1"/>
  <c r="I34" i="8"/>
  <c r="J39" i="8"/>
  <c r="J42" i="8"/>
  <c r="I32" i="8"/>
  <c r="J10" i="8"/>
  <c r="H10" i="10" s="1"/>
  <c r="O10" i="10" s="1"/>
  <c r="I29" i="8"/>
  <c r="H8" i="10"/>
  <c r="O8" i="10" s="1"/>
  <c r="I8" i="10"/>
  <c r="Q8" i="8" s="1"/>
  <c r="H7" i="10"/>
  <c r="I6" i="10"/>
  <c r="P6" i="10" s="1"/>
  <c r="J9" i="8"/>
  <c r="H9" i="10" s="1"/>
  <c r="O9" i="10" s="1"/>
  <c r="I30" i="8"/>
  <c r="I33" i="8"/>
  <c r="M11" i="10"/>
  <c r="N8" i="8"/>
  <c r="K7" i="8"/>
  <c r="I7" i="10" s="1"/>
  <c r="O11" i="10"/>
  <c r="M11" i="8"/>
  <c r="M9" i="8"/>
  <c r="L9" i="10"/>
  <c r="J6" i="8"/>
  <c r="H6" i="10" s="1"/>
  <c r="O6" i="10" s="1"/>
  <c r="I31" i="8"/>
  <c r="K9" i="10"/>
  <c r="N8" i="10"/>
  <c r="L27" i="8"/>
  <c r="M14" i="8"/>
  <c r="I27" i="8"/>
  <c r="I26" i="8"/>
  <c r="L26" i="8"/>
  <c r="I28" i="8"/>
  <c r="J13" i="10" l="1"/>
  <c r="O13" i="8" s="1"/>
  <c r="S13" i="8" s="1"/>
  <c r="Q12" i="8"/>
  <c r="T28" i="8"/>
  <c r="P14" i="8"/>
  <c r="M16" i="10"/>
  <c r="P12" i="8"/>
  <c r="P18" i="8"/>
  <c r="P16" i="8"/>
  <c r="L6" i="10"/>
  <c r="Q10" i="8"/>
  <c r="F9" i="10"/>
  <c r="L9" i="8" s="1"/>
  <c r="R9" i="8" s="1"/>
  <c r="M7" i="10"/>
  <c r="L10" i="10"/>
  <c r="J5" i="10"/>
  <c r="M6" i="10"/>
  <c r="P19" i="10"/>
  <c r="P17" i="8"/>
  <c r="V17" i="8" s="1"/>
  <c r="O13" i="10"/>
  <c r="P13" i="8"/>
  <c r="V13" i="8" s="1"/>
  <c r="P11" i="8"/>
  <c r="P5" i="8"/>
  <c r="P7" i="8"/>
  <c r="P15" i="8"/>
  <c r="P19" i="8"/>
  <c r="M9" i="10"/>
  <c r="P5" i="10"/>
  <c r="N5" i="8"/>
  <c r="Q18" i="8"/>
  <c r="R19" i="8"/>
  <c r="J15" i="10"/>
  <c r="O15" i="8" s="1"/>
  <c r="O15" i="10"/>
  <c r="Q15" i="8"/>
  <c r="P15" i="10"/>
  <c r="F16" i="10"/>
  <c r="L16" i="8" s="1"/>
  <c r="L16" i="10"/>
  <c r="F12" i="10"/>
  <c r="L12" i="8" s="1"/>
  <c r="L12" i="10"/>
  <c r="O17" i="10"/>
  <c r="J17" i="10"/>
  <c r="O17" i="8" s="1"/>
  <c r="S17" i="8" s="1"/>
  <c r="O16" i="10"/>
  <c r="J16" i="10"/>
  <c r="O16" i="8" s="1"/>
  <c r="S16" i="8" s="1"/>
  <c r="O12" i="10"/>
  <c r="J12" i="10"/>
  <c r="O12" i="8" s="1"/>
  <c r="S12" i="8" s="1"/>
  <c r="N19" i="8"/>
  <c r="M19" i="10"/>
  <c r="L18" i="10"/>
  <c r="F18" i="10"/>
  <c r="L18" i="8" s="1"/>
  <c r="R18" i="8" s="1"/>
  <c r="Q11" i="8"/>
  <c r="F17" i="10"/>
  <c r="L17" i="8" s="1"/>
  <c r="L17" i="10"/>
  <c r="O18" i="10"/>
  <c r="J18" i="10"/>
  <c r="O18" i="8" s="1"/>
  <c r="Q16" i="8"/>
  <c r="P16" i="10"/>
  <c r="P11" i="10"/>
  <c r="M12" i="8"/>
  <c r="F13" i="10"/>
  <c r="L13" i="8" s="1"/>
  <c r="L13" i="10"/>
  <c r="O14" i="10"/>
  <c r="J14" i="10"/>
  <c r="O14" i="8" s="1"/>
  <c r="Q14" i="8"/>
  <c r="P14" i="10"/>
  <c r="O19" i="10"/>
  <c r="J19" i="10"/>
  <c r="O19" i="8" s="1"/>
  <c r="S19" i="8" s="1"/>
  <c r="M18" i="8"/>
  <c r="F6" i="10"/>
  <c r="L6" i="8" s="1"/>
  <c r="R6" i="8" s="1"/>
  <c r="F10" i="10"/>
  <c r="L10" i="8" s="1"/>
  <c r="R10" i="8" s="1"/>
  <c r="M10" i="10"/>
  <c r="P10" i="8"/>
  <c r="J10" i="10"/>
  <c r="O10" i="8" s="1"/>
  <c r="S10" i="8" s="1"/>
  <c r="P8" i="8"/>
  <c r="J7" i="10"/>
  <c r="O7" i="8" s="1"/>
  <c r="S7" i="8" s="1"/>
  <c r="Q9" i="8"/>
  <c r="M46" i="8"/>
  <c r="J46" i="8"/>
  <c r="Q6" i="8"/>
  <c r="J9" i="10"/>
  <c r="O9" i="8" s="1"/>
  <c r="S9" i="8" s="1"/>
  <c r="O7" i="10"/>
  <c r="P8" i="10"/>
  <c r="J8" i="10"/>
  <c r="O8" i="8" s="1"/>
  <c r="S8" i="8" s="1"/>
  <c r="P9" i="8"/>
  <c r="J6" i="10"/>
  <c r="O6" i="8" s="1"/>
  <c r="N11" i="8"/>
  <c r="M8" i="10"/>
  <c r="Q7" i="8"/>
  <c r="P7" i="10"/>
  <c r="F11" i="10"/>
  <c r="L11" i="8" s="1"/>
  <c r="L11" i="10"/>
  <c r="F8" i="10"/>
  <c r="L8" i="8" s="1"/>
  <c r="M8" i="8"/>
  <c r="L8" i="10"/>
  <c r="F7" i="10"/>
  <c r="L7" i="8" s="1"/>
  <c r="M7" i="8"/>
  <c r="L7" i="10"/>
  <c r="P6" i="8"/>
  <c r="F5" i="10"/>
  <c r="L5" i="8" s="1"/>
  <c r="L5" i="10"/>
  <c r="M5" i="8"/>
  <c r="O5" i="8" l="1"/>
  <c r="S5" i="8" s="1"/>
  <c r="V5" i="8"/>
  <c r="V16" i="8"/>
  <c r="V14" i="8"/>
  <c r="V10" i="8"/>
  <c r="V12" i="8"/>
  <c r="W9" i="8"/>
  <c r="J14" i="12"/>
  <c r="V19" i="8"/>
  <c r="V15" i="8"/>
  <c r="W19" i="8"/>
  <c r="V18" i="8"/>
  <c r="O44" i="10"/>
  <c r="E47" i="10" s="1"/>
  <c r="L49" i="8" s="1"/>
  <c r="R17" i="8"/>
  <c r="W17" i="8" s="1"/>
  <c r="X17" i="8" s="1"/>
  <c r="J25" i="12"/>
  <c r="S14" i="8"/>
  <c r="W14" i="8" s="1"/>
  <c r="J22" i="12"/>
  <c r="J20" i="12"/>
  <c r="R12" i="8"/>
  <c r="W12" i="8" s="1"/>
  <c r="R13" i="8"/>
  <c r="W13" i="8" s="1"/>
  <c r="X13" i="8" s="1"/>
  <c r="J21" i="12"/>
  <c r="R16" i="8"/>
  <c r="W16" i="8" s="1"/>
  <c r="J24" i="12"/>
  <c r="N20" i="8"/>
  <c r="S15" i="8"/>
  <c r="W15" i="8" s="1"/>
  <c r="J23" i="12"/>
  <c r="J26" i="12"/>
  <c r="S18" i="8"/>
  <c r="W18" i="8" s="1"/>
  <c r="J27" i="12"/>
  <c r="W10" i="8"/>
  <c r="V8" i="8"/>
  <c r="J18" i="12"/>
  <c r="V9" i="8"/>
  <c r="Q20" i="8"/>
  <c r="J17" i="12"/>
  <c r="P20" i="8"/>
  <c r="S6" i="8"/>
  <c r="O20" i="8"/>
  <c r="V11" i="8"/>
  <c r="V6" i="8"/>
  <c r="L44" i="10"/>
  <c r="E46" i="10" s="1"/>
  <c r="V7" i="8"/>
  <c r="L20" i="8"/>
  <c r="R11" i="8"/>
  <c r="W11" i="8" s="1"/>
  <c r="J19" i="12"/>
  <c r="J16" i="12"/>
  <c r="R8" i="8"/>
  <c r="W8" i="8" s="1"/>
  <c r="J15" i="12"/>
  <c r="R7" i="8"/>
  <c r="W7" i="8" s="1"/>
  <c r="M20" i="8"/>
  <c r="R5" i="8"/>
  <c r="J13" i="12" l="1"/>
  <c r="W5" i="8"/>
  <c r="I49" i="8"/>
  <c r="F46" i="10"/>
  <c r="J49" i="8" s="1"/>
  <c r="X10" i="8"/>
  <c r="X16" i="8"/>
  <c r="X14" i="8"/>
  <c r="X12" i="8"/>
  <c r="X9" i="8"/>
  <c r="X18" i="8"/>
  <c r="Q32" i="8"/>
  <c r="X19" i="8"/>
  <c r="X15" i="8"/>
  <c r="X5" i="8"/>
  <c r="F47" i="10"/>
  <c r="M49" i="8" s="1"/>
  <c r="S20" i="8"/>
  <c r="X8" i="8"/>
  <c r="W6" i="8"/>
  <c r="X7" i="8"/>
  <c r="V20" i="8"/>
  <c r="X11" i="8"/>
  <c r="J28" i="12"/>
  <c r="J29" i="12" s="1"/>
  <c r="R20" i="8"/>
  <c r="W20" i="8" l="1"/>
  <c r="Q25" i="8" s="1"/>
  <c r="I37" i="12"/>
  <c r="K28" i="12"/>
  <c r="Q41" i="8"/>
  <c r="Q26" i="8"/>
  <c r="Q33" i="8" s="1"/>
  <c r="R36" i="8" s="1"/>
  <c r="X6" i="8"/>
  <c r="X20" i="8" s="1"/>
  <c r="Q27" i="8" l="1"/>
  <c r="R25" i="8" s="1"/>
  <c r="R26" i="8" l="1"/>
  <c r="Q29" i="8"/>
  <c r="R29" i="8" s="1"/>
  <c r="Q34" i="8" l="1"/>
  <c r="Q37" i="8" s="1"/>
  <c r="Q38" i="8" s="1"/>
  <c r="Q42" i="8"/>
  <c r="Q4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C02762-DE5B-4397-AB37-AB5B95C3971C}" keepAlive="1" interval="30" name="Query - Paint Unified" description="Connection to the 'Paint Unified' query in the workbook." type="5" refreshedVersion="8" background="1" refreshOnLoad="1" saveData="1">
    <dbPr connection="Provider=Microsoft.Mashup.OleDb.1;Data Source=$Workbook$;Location=&quot;Paint Unified&quot;;Extended Properties=&quot;&quot;" command="SELECT * FROM [Paint Unified]"/>
  </connection>
</connections>
</file>

<file path=xl/sharedStrings.xml><?xml version="1.0" encoding="utf-8"?>
<sst xmlns="http://schemas.openxmlformats.org/spreadsheetml/2006/main" count="416" uniqueCount="228">
  <si>
    <t>Total area</t>
  </si>
  <si>
    <t>Vendor</t>
  </si>
  <si>
    <t>Sales Number</t>
  </si>
  <si>
    <t xml:space="preserve"> Description </t>
  </si>
  <si>
    <t>Unit Price</t>
  </si>
  <si>
    <t>Quantity</t>
  </si>
  <si>
    <t>U/M</t>
  </si>
  <si>
    <t>Tax</t>
  </si>
  <si>
    <t>Price GT</t>
  </si>
  <si>
    <t>% margin</t>
  </si>
  <si>
    <t>Price customer</t>
  </si>
  <si>
    <t>Coverage Sf</t>
  </si>
  <si>
    <t>Price Sf</t>
  </si>
  <si>
    <t>Sherwin Williams</t>
  </si>
  <si>
    <t>PVA INT PRMR WHITE Drywall Primer</t>
  </si>
  <si>
    <t>G</t>
  </si>
  <si>
    <t>PM 200 0 PRIMER Zero VOC Primer</t>
  </si>
  <si>
    <t>PM 400 0 FL EXTRA Zero Voc Ceiling</t>
  </si>
  <si>
    <t>PM 200 0 FL EXTRA Pro Mar 200 Zero Voc Contractor grade</t>
  </si>
  <si>
    <t>PM200 HP 0 EG EW  Pro Mar 200 HP</t>
  </si>
  <si>
    <t>SPR INT SA AIR EW SuperPaint Air</t>
  </si>
  <si>
    <t>SCUFF TUFF MT EW Scuff X Crossover</t>
  </si>
  <si>
    <t>EMERALD IN FL EXTR Emerald interior</t>
  </si>
  <si>
    <t>CLRTP WBSTN WHT CAD Colour Top Ext Stain</t>
  </si>
  <si>
    <t>SPR EXT FL EXTRA SuperPaint Ext</t>
  </si>
  <si>
    <t>LATITUDE EXT FL EW</t>
  </si>
  <si>
    <t>DURATION FL EXTRA</t>
  </si>
  <si>
    <t>IND EN HS PUREWHT Industrial Enamel</t>
  </si>
  <si>
    <t>Benjamin Moore</t>
  </si>
  <si>
    <t xml:space="preserve">F5371X-001 </t>
  </si>
  <si>
    <t xml:space="preserve">Ultraspec Interior Low Sheen Base 1 </t>
  </si>
  <si>
    <t xml:space="preserve">G </t>
  </si>
  <si>
    <t xml:space="preserve">K08200-001 </t>
  </si>
  <si>
    <t xml:space="preserve">Step One Primer - White </t>
  </si>
  <si>
    <t xml:space="preserve">K4861X-001 </t>
  </si>
  <si>
    <t xml:space="preserve">Scuff X Interior Pearl finish base 1 </t>
  </si>
  <si>
    <t xml:space="preserve">F5521X-001 </t>
  </si>
  <si>
    <t xml:space="preserve">Regal Select Int Ulti-matte Base 1 </t>
  </si>
  <si>
    <t xml:space="preserve">K7921X-001 </t>
  </si>
  <si>
    <t xml:space="preserve">Advance Wb Alkyd Pearl Base 1 </t>
  </si>
  <si>
    <t xml:space="preserve">K50809-001 </t>
  </si>
  <si>
    <t xml:space="preserve">Waterborne Ceiling Paint White </t>
  </si>
  <si>
    <t xml:space="preserve">K5321X-001 </t>
  </si>
  <si>
    <t xml:space="preserve">Aura Bath &amp; Spa Matte Base 1 </t>
  </si>
  <si>
    <t xml:space="preserve">SXA11009-01 </t>
  </si>
  <si>
    <t xml:space="preserve">Stix Urethane Acrylic Primer White </t>
  </si>
  <si>
    <t xml:space="preserve">K4011X-001 </t>
  </si>
  <si>
    <t xml:space="preserve">Regal Select Ext Low Lustre Base 1 </t>
  </si>
  <si>
    <t xml:space="preserve">K6401X-001 </t>
  </si>
  <si>
    <t xml:space="preserve">Arborcoat Ext. Wb Stain Solid Base </t>
  </si>
  <si>
    <t xml:space="preserve">F6341X-001 </t>
  </si>
  <si>
    <t xml:space="preserve">Aura Exterior Low Lustre Base 1 </t>
  </si>
  <si>
    <t xml:space="preserve">V3922X-001 </t>
  </si>
  <si>
    <t>Corotech Command Acrylic Urethane Satin</t>
  </si>
  <si>
    <t xml:space="preserve">13.36-001 </t>
  </si>
  <si>
    <t xml:space="preserve">Coronado Rust Scat Oil Accent Base </t>
  </si>
  <si>
    <t>OI</t>
  </si>
  <si>
    <t>OH</t>
  </si>
  <si>
    <t>New Price</t>
  </si>
  <si>
    <t>Column15</t>
  </si>
  <si>
    <t>Primer coats</t>
  </si>
  <si>
    <t>Finish coats</t>
  </si>
  <si>
    <t>Area/room name</t>
  </si>
  <si>
    <t>Primer</t>
  </si>
  <si>
    <t>Finish type</t>
  </si>
  <si>
    <t>CEILING</t>
  </si>
  <si>
    <t>WALL</t>
  </si>
  <si>
    <t>Finish Type</t>
  </si>
  <si>
    <t>Area Sf</t>
  </si>
  <si>
    <t>AREAS</t>
  </si>
  <si>
    <t>LABOR</t>
  </si>
  <si>
    <t>PRICE</t>
  </si>
  <si>
    <t>Item price paint</t>
  </si>
  <si>
    <t>Item price labor</t>
  </si>
  <si>
    <t>$ Primer paint</t>
  </si>
  <si>
    <t>$ Finish paint</t>
  </si>
  <si>
    <t>Primer area</t>
  </si>
  <si>
    <t>Finish area</t>
  </si>
  <si>
    <t>PAINT</t>
  </si>
  <si>
    <t>Zinsser</t>
  </si>
  <si>
    <t>Bin Shellac Primer</t>
  </si>
  <si>
    <t>Column1</t>
  </si>
  <si>
    <t>Applicacion</t>
  </si>
  <si>
    <t>Ceiling</t>
  </si>
  <si>
    <t>Finish</t>
  </si>
  <si>
    <t>General Priming wall</t>
  </si>
  <si>
    <t>Ceiling/Finish</t>
  </si>
  <si>
    <t>General Priming Ceiling</t>
  </si>
  <si>
    <t>Reference</t>
  </si>
  <si>
    <t>Price Gal</t>
  </si>
  <si>
    <t>Labor wall ceiling paint</t>
  </si>
  <si>
    <t>Row Labels</t>
  </si>
  <si>
    <t>Hr Special Labor</t>
  </si>
  <si>
    <t>$ Wall Labor</t>
  </si>
  <si>
    <t>$ Ceiling Labor</t>
  </si>
  <si>
    <t>$ Special labor</t>
  </si>
  <si>
    <t>Hr Value special labor</t>
  </si>
  <si>
    <t>VALUES</t>
  </si>
  <si>
    <t>PRICE PER ITEM</t>
  </si>
  <si>
    <t>Sub-Total price</t>
  </si>
  <si>
    <t>TOTALS</t>
  </si>
  <si>
    <t>TOTAL PRICE</t>
  </si>
  <si>
    <t>FINISH WALL PAINT</t>
  </si>
  <si>
    <t>W Finish Type</t>
  </si>
  <si>
    <t>W Primer paint gal unit</t>
  </si>
  <si>
    <t>W Finish paint gal unit</t>
  </si>
  <si>
    <t>C Primer paint gal unit</t>
  </si>
  <si>
    <t>C Finish paint gal unit</t>
  </si>
  <si>
    <t>Sum of W Finish paint gal unit</t>
  </si>
  <si>
    <t>C Finish Type</t>
  </si>
  <si>
    <t>Sum of C Finish paint gal unit</t>
  </si>
  <si>
    <t>TOTAL GAL</t>
  </si>
  <si>
    <t>Total Gal</t>
  </si>
  <si>
    <t>Total Price</t>
  </si>
  <si>
    <t>Round up gal</t>
  </si>
  <si>
    <t>FINISH CEILING PAINT</t>
  </si>
  <si>
    <t>FINISH WALL PAINT SUMMARY</t>
  </si>
  <si>
    <t>FINISH CEILING PAINT SUMMARY</t>
  </si>
  <si>
    <t>TOTAL</t>
  </si>
  <si>
    <t>DISCOUNT %</t>
  </si>
  <si>
    <t>FINAL PRICE</t>
  </si>
  <si>
    <t>Description</t>
  </si>
  <si>
    <t>Value CAD</t>
  </si>
  <si>
    <t>Weight (FP)</t>
  </si>
  <si>
    <t>COSTS</t>
  </si>
  <si>
    <t>IM</t>
  </si>
  <si>
    <t>NET</t>
  </si>
  <si>
    <t>NET %</t>
  </si>
  <si>
    <t>Primer summary Wall</t>
  </si>
  <si>
    <t>Primer summary ceiling</t>
  </si>
  <si>
    <t>Location:</t>
  </si>
  <si>
    <t>LXN XP EW Loxon XP</t>
  </si>
  <si>
    <t>#</t>
  </si>
  <si>
    <t>With (Ft)</t>
  </si>
  <si>
    <t>Area</t>
  </si>
  <si>
    <t>Depth (Ft)</t>
  </si>
  <si>
    <t>Height (ft)</t>
  </si>
  <si>
    <t>Ceiling?</t>
  </si>
  <si>
    <t>Yes</t>
  </si>
  <si>
    <t>No</t>
  </si>
  <si>
    <t># of coats</t>
  </si>
  <si>
    <t>Area dimensions</t>
  </si>
  <si>
    <t>Name:</t>
  </si>
  <si>
    <t>Address:</t>
  </si>
  <si>
    <t>Phone:</t>
  </si>
  <si>
    <t>email:</t>
  </si>
  <si>
    <t>Date:</t>
  </si>
  <si>
    <t>Commercial</t>
  </si>
  <si>
    <t>Standard</t>
  </si>
  <si>
    <t xml:space="preserve">Special </t>
  </si>
  <si>
    <t>Hollow metal</t>
  </si>
  <si>
    <t>Ceiling average</t>
  </si>
  <si>
    <t>Finish average</t>
  </si>
  <si>
    <t>Primer average</t>
  </si>
  <si>
    <t>Ceiling median</t>
  </si>
  <si>
    <t>Finish median</t>
  </si>
  <si>
    <t>Primer median</t>
  </si>
  <si>
    <t>Larger</t>
  </si>
  <si>
    <t>Max</t>
  </si>
  <si>
    <t>Min</t>
  </si>
  <si>
    <t>Project type</t>
  </si>
  <si>
    <t xml:space="preserve"> </t>
  </si>
  <si>
    <t>Total Area</t>
  </si>
  <si>
    <t>Initial Estimate</t>
  </si>
  <si>
    <t>Val paint</t>
  </si>
  <si>
    <t>Total average</t>
  </si>
  <si>
    <t>Living room</t>
  </si>
  <si>
    <t>Stairwell</t>
  </si>
  <si>
    <t>Rooms list</t>
  </si>
  <si>
    <t>Kitchen</t>
  </si>
  <si>
    <t>Dinning room</t>
  </si>
  <si>
    <t>Sunroom</t>
  </si>
  <si>
    <t>Home Office</t>
  </si>
  <si>
    <t>Library</t>
  </si>
  <si>
    <t>Bathroom</t>
  </si>
  <si>
    <t>Half-Bath</t>
  </si>
  <si>
    <t>Laundry room</t>
  </si>
  <si>
    <t>Storage room</t>
  </si>
  <si>
    <t>Master bedroom</t>
  </si>
  <si>
    <t>Walk-in Closet</t>
  </si>
  <si>
    <t>Bedroom</t>
  </si>
  <si>
    <t>Garage</t>
  </si>
  <si>
    <t>Basement</t>
  </si>
  <si>
    <t>Closet</t>
  </si>
  <si>
    <t>Initial estimate</t>
  </si>
  <si>
    <t>Detailed quote</t>
  </si>
  <si>
    <t>% difference</t>
  </si>
  <si>
    <t>QTY</t>
  </si>
  <si>
    <t>Total</t>
  </si>
  <si>
    <t>Baseboard</t>
  </si>
  <si>
    <t>Ft</t>
  </si>
  <si>
    <t>Coats</t>
  </si>
  <si>
    <t>Crownmolding</t>
  </si>
  <si>
    <t>GRAN TOTAL</t>
  </si>
  <si>
    <t>Type door</t>
  </si>
  <si>
    <t>Single standard wood door</t>
  </si>
  <si>
    <t>Single tall wood door</t>
  </si>
  <si>
    <t>One and a Half tall wood door</t>
  </si>
  <si>
    <t>One and a half wood door</t>
  </si>
  <si>
    <t>Total area sf</t>
  </si>
  <si>
    <t>Paint Sf</t>
  </si>
  <si>
    <t>Value per door (1 coat)</t>
  </si>
  <si>
    <t>Area Sf per ft</t>
  </si>
  <si>
    <t>Labor Sf</t>
  </si>
  <si>
    <t>Value per Ft</t>
  </si>
  <si>
    <t>Accessories</t>
  </si>
  <si>
    <t>Doors</t>
  </si>
  <si>
    <t>Doors and accesories (Labor and paint)</t>
  </si>
  <si>
    <t>Baseboard?</t>
  </si>
  <si>
    <t>Baseboard Length</t>
  </si>
  <si>
    <t>Bi-fold wood door</t>
  </si>
  <si>
    <t>Bi-fold tall wood door</t>
  </si>
  <si>
    <t>Single Metal man door</t>
  </si>
  <si>
    <t>One and a half Metal man door</t>
  </si>
  <si>
    <t>Bi-fold metal man door</t>
  </si>
  <si>
    <t xml:space="preserve">Entrance </t>
  </si>
  <si>
    <t>Hallway</t>
  </si>
  <si>
    <t>Foyer</t>
  </si>
  <si>
    <t>Mechanical room</t>
  </si>
  <si>
    <t>TV room</t>
  </si>
  <si>
    <t>Room 1</t>
  </si>
  <si>
    <t>Room 2</t>
  </si>
  <si>
    <t>Sub-Total</t>
  </si>
  <si>
    <t>Accessories and doors</t>
  </si>
  <si>
    <t>one day project</t>
  </si>
  <si>
    <t>University of waterloo</t>
  </si>
  <si>
    <t>Waterborne Ceiling Paint White</t>
  </si>
  <si>
    <t>Aura Bath &amp; Spa Matte Base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</si>
</sst>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_-* #,##0.00_-;\-* #,##0.00_-;_-* &quot;-&quot;??_-;_-@_-"/>
    <numFmt numFmtId="166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</fills>
  <borders count="9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thin">
        <color indexed="64"/>
      </top>
      <bottom style="dotted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dotted">
        <color auto="1"/>
      </top>
      <bottom style="dotted">
        <color auto="1"/>
      </bottom>
      <diagonal/>
    </border>
    <border>
      <left style="hair">
        <color indexed="64"/>
      </left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28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9" fontId="0" fillId="0" borderId="0" xfId="2" applyFont="1" applyAlignment="1">
      <alignment horizontal="center"/>
    </xf>
    <xf numFmtId="44" fontId="0" fillId="0" borderId="0" xfId="0" applyNumberFormat="1"/>
    <xf numFmtId="44" fontId="0" fillId="0" borderId="0" xfId="0" applyNumberFormat="1" applyAlignment="1">
      <alignment horizontal="center"/>
    </xf>
    <xf numFmtId="44" fontId="0" fillId="0" borderId="0" xfId="1" applyFont="1" applyFill="1" applyAlignment="1">
      <alignment horizontal="center"/>
    </xf>
    <xf numFmtId="44" fontId="2" fillId="0" borderId="0" xfId="0" applyNumberFormat="1" applyFont="1" applyAlignment="1">
      <alignment horizontal="center"/>
    </xf>
    <xf numFmtId="44" fontId="2" fillId="0" borderId="0" xfId="0" applyNumberFormat="1" applyFont="1"/>
    <xf numFmtId="0" fontId="0" fillId="0" borderId="17" xfId="0" applyBorder="1" applyAlignment="1">
      <alignment vertical="center" textRotation="90"/>
    </xf>
    <xf numFmtId="0" fontId="2" fillId="0" borderId="0" xfId="0" applyFont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2" fillId="0" borderId="1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64" fontId="0" fillId="6" borderId="8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164" fontId="0" fillId="4" borderId="22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44" fontId="0" fillId="3" borderId="10" xfId="0" applyNumberFormat="1" applyFill="1" applyBorder="1" applyAlignment="1">
      <alignment horizontal="center"/>
    </xf>
    <xf numFmtId="44" fontId="0" fillId="3" borderId="23" xfId="0" applyNumberFormat="1" applyFill="1" applyBorder="1" applyAlignment="1">
      <alignment horizontal="center"/>
    </xf>
    <xf numFmtId="44" fontId="0" fillId="3" borderId="38" xfId="0" applyNumberFormat="1" applyFill="1" applyBorder="1" applyAlignment="1">
      <alignment horizontal="center"/>
    </xf>
    <xf numFmtId="44" fontId="0" fillId="3" borderId="6" xfId="0" applyNumberForma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44" fontId="0" fillId="8" borderId="26" xfId="0" applyNumberFormat="1" applyFill="1" applyBorder="1" applyAlignment="1">
      <alignment horizontal="center"/>
    </xf>
    <xf numFmtId="44" fontId="0" fillId="8" borderId="27" xfId="0" applyNumberFormat="1" applyFill="1" applyBorder="1" applyAlignment="1">
      <alignment horizontal="center"/>
    </xf>
    <xf numFmtId="44" fontId="0" fillId="8" borderId="40" xfId="0" applyNumberFormat="1" applyFill="1" applyBorder="1" applyAlignment="1">
      <alignment horizontal="center"/>
    </xf>
    <xf numFmtId="44" fontId="0" fillId="8" borderId="34" xfId="0" applyNumberFormat="1" applyFill="1" applyBorder="1" applyAlignment="1">
      <alignment horizontal="center"/>
    </xf>
    <xf numFmtId="2" fontId="0" fillId="3" borderId="22" xfId="0" applyNumberFormat="1" applyFill="1" applyBorder="1" applyAlignment="1">
      <alignment horizontal="center"/>
    </xf>
    <xf numFmtId="2" fontId="0" fillId="3" borderId="36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44" fontId="0" fillId="4" borderId="10" xfId="0" applyNumberFormat="1" applyFill="1" applyBorder="1" applyAlignment="1">
      <alignment horizontal="center"/>
    </xf>
    <xf numFmtId="44" fontId="0" fillId="4" borderId="23" xfId="0" applyNumberFormat="1" applyFill="1" applyBorder="1" applyAlignment="1">
      <alignment horizontal="center"/>
    </xf>
    <xf numFmtId="44" fontId="0" fillId="4" borderId="37" xfId="0" applyNumberFormat="1" applyFill="1" applyBorder="1" applyAlignment="1">
      <alignment horizontal="center"/>
    </xf>
    <xf numFmtId="44" fontId="0" fillId="4" borderId="38" xfId="0" applyNumberFormat="1" applyFill="1" applyBorder="1" applyAlignment="1">
      <alignment horizontal="center"/>
    </xf>
    <xf numFmtId="44" fontId="0" fillId="4" borderId="5" xfId="0" applyNumberFormat="1" applyFill="1" applyBorder="1" applyAlignment="1">
      <alignment horizontal="center"/>
    </xf>
    <xf numFmtId="44" fontId="0" fillId="4" borderId="6" xfId="0" applyNumberForma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9" borderId="32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center"/>
    </xf>
    <xf numFmtId="44" fontId="0" fillId="9" borderId="22" xfId="0" applyNumberFormat="1" applyFill="1" applyBorder="1" applyAlignment="1">
      <alignment horizontal="center"/>
    </xf>
    <xf numFmtId="44" fontId="0" fillId="9" borderId="24" xfId="0" applyNumberFormat="1" applyFill="1" applyBorder="1" applyAlignment="1">
      <alignment horizontal="center"/>
    </xf>
    <xf numFmtId="44" fontId="0" fillId="9" borderId="23" xfId="0" applyNumberFormat="1" applyFill="1" applyBorder="1"/>
    <xf numFmtId="44" fontId="0" fillId="9" borderId="36" xfId="0" applyNumberFormat="1" applyFill="1" applyBorder="1" applyAlignment="1">
      <alignment horizontal="center"/>
    </xf>
    <xf numFmtId="44" fontId="0" fillId="9" borderId="39" xfId="0" applyNumberFormat="1" applyFill="1" applyBorder="1" applyAlignment="1">
      <alignment horizontal="center"/>
    </xf>
    <xf numFmtId="44" fontId="0" fillId="9" borderId="38" xfId="0" applyNumberFormat="1" applyFill="1" applyBorder="1"/>
    <xf numFmtId="44" fontId="0" fillId="9" borderId="4" xfId="0" applyNumberFormat="1" applyFill="1" applyBorder="1" applyAlignment="1">
      <alignment horizontal="center"/>
    </xf>
    <xf numFmtId="44" fontId="0" fillId="9" borderId="33" xfId="0" applyNumberFormat="1" applyFill="1" applyBorder="1" applyAlignment="1">
      <alignment horizontal="center"/>
    </xf>
    <xf numFmtId="44" fontId="0" fillId="9" borderId="6" xfId="0" applyNumberFormat="1" applyFill="1" applyBorder="1"/>
    <xf numFmtId="9" fontId="0" fillId="0" borderId="0" xfId="2" applyFont="1" applyFill="1" applyAlignment="1">
      <alignment horizontal="center"/>
    </xf>
    <xf numFmtId="164" fontId="4" fillId="6" borderId="5" xfId="0" applyNumberFormat="1" applyFont="1" applyFill="1" applyBorder="1" applyAlignment="1">
      <alignment horizontal="center"/>
    </xf>
    <xf numFmtId="164" fontId="0" fillId="6" borderId="37" xfId="0" applyNumberFormat="1" applyFill="1" applyBorder="1" applyAlignment="1">
      <alignment horizontal="center"/>
    </xf>
    <xf numFmtId="164" fontId="0" fillId="4" borderId="36" xfId="0" applyNumberFormat="1" applyFill="1" applyBorder="1" applyAlignment="1">
      <alignment horizontal="center"/>
    </xf>
    <xf numFmtId="164" fontId="4" fillId="6" borderId="6" xfId="0" applyNumberFormat="1" applyFont="1" applyFill="1" applyBorder="1" applyAlignment="1">
      <alignment horizontal="center"/>
    </xf>
    <xf numFmtId="164" fontId="0" fillId="6" borderId="38" xfId="0" applyNumberFormat="1" applyFill="1" applyBorder="1" applyAlignment="1">
      <alignment horizontal="center"/>
    </xf>
    <xf numFmtId="0" fontId="7" fillId="10" borderId="0" xfId="0" applyFont="1" applyFill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5" borderId="37" xfId="0" applyNumberFormat="1" applyFill="1" applyBorder="1" applyAlignment="1">
      <alignment horizontal="center"/>
    </xf>
    <xf numFmtId="164" fontId="0" fillId="5" borderId="38" xfId="0" applyNumberFormat="1" applyFill="1" applyBorder="1" applyAlignment="1">
      <alignment horizontal="center"/>
    </xf>
    <xf numFmtId="164" fontId="0" fillId="5" borderId="10" xfId="0" applyNumberFormat="1" applyFill="1" applyBorder="1" applyAlignment="1">
      <alignment horizontal="center"/>
    </xf>
    <xf numFmtId="164" fontId="0" fillId="5" borderId="23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0" fontId="2" fillId="10" borderId="0" xfId="0" applyFont="1" applyFill="1"/>
    <xf numFmtId="0" fontId="3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2" fillId="10" borderId="0" xfId="1" applyFont="1" applyFill="1" applyAlignment="1">
      <alignment horizontal="center"/>
    </xf>
    <xf numFmtId="0" fontId="2" fillId="8" borderId="13" xfId="0" applyFont="1" applyFill="1" applyBorder="1" applyAlignment="1">
      <alignment horizontal="center"/>
    </xf>
    <xf numFmtId="44" fontId="0" fillId="8" borderId="43" xfId="1" applyFont="1" applyFill="1" applyBorder="1" applyAlignment="1">
      <alignment horizontal="center"/>
    </xf>
    <xf numFmtId="44" fontId="0" fillId="8" borderId="44" xfId="1" applyFont="1" applyFill="1" applyBorder="1" applyAlignment="1">
      <alignment horizontal="center"/>
    </xf>
    <xf numFmtId="44" fontId="0" fillId="8" borderId="45" xfId="1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2" fontId="0" fillId="4" borderId="22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4" borderId="36" xfId="0" applyNumberFormat="1" applyFill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2" fontId="0" fillId="4" borderId="41" xfId="0" applyNumberFormat="1" applyFill="1" applyBorder="1" applyAlignment="1">
      <alignment horizontal="center"/>
    </xf>
    <xf numFmtId="2" fontId="0" fillId="4" borderId="37" xfId="0" applyNumberFormat="1" applyFill="1" applyBorder="1" applyAlignment="1">
      <alignment horizontal="center"/>
    </xf>
    <xf numFmtId="2" fontId="0" fillId="4" borderId="5" xfId="0" applyNumberFormat="1" applyFill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2" fillId="0" borderId="0" xfId="0" applyNumberFormat="1" applyFont="1" applyAlignment="1">
      <alignment horizontal="center"/>
    </xf>
    <xf numFmtId="44" fontId="2" fillId="0" borderId="0" xfId="1" applyFont="1"/>
    <xf numFmtId="2" fontId="0" fillId="3" borderId="23" xfId="0" applyNumberFormat="1" applyFill="1" applyBorder="1" applyAlignment="1">
      <alignment horizontal="center"/>
    </xf>
    <xf numFmtId="2" fontId="0" fillId="3" borderId="38" xfId="0" applyNumberFormat="1" applyFill="1" applyBorder="1" applyAlignment="1">
      <alignment horizontal="center"/>
    </xf>
    <xf numFmtId="2" fontId="0" fillId="3" borderId="6" xfId="0" applyNumberFormat="1" applyFill="1" applyBorder="1" applyAlignment="1">
      <alignment horizontal="center"/>
    </xf>
    <xf numFmtId="2" fontId="0" fillId="3" borderId="42" xfId="0" applyNumberForma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2" fontId="0" fillId="3" borderId="39" xfId="0" applyNumberFormat="1" applyFill="1" applyBorder="1" applyAlignment="1">
      <alignment horizontal="center"/>
    </xf>
    <xf numFmtId="2" fontId="0" fillId="3" borderId="33" xfId="0" applyNumberFormat="1" applyFill="1" applyBorder="1" applyAlignment="1">
      <alignment horizontal="center"/>
    </xf>
    <xf numFmtId="2" fontId="0" fillId="3" borderId="25" xfId="0" applyNumberForma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2" fontId="0" fillId="3" borderId="27" xfId="0" applyNumberFormat="1" applyFill="1" applyBorder="1" applyAlignment="1">
      <alignment horizontal="center"/>
    </xf>
    <xf numFmtId="2" fontId="0" fillId="3" borderId="40" xfId="0" applyNumberFormat="1" applyFill="1" applyBorder="1" applyAlignment="1">
      <alignment horizontal="center"/>
    </xf>
    <xf numFmtId="2" fontId="0" fillId="3" borderId="34" xfId="0" applyNumberFormat="1" applyFill="1" applyBorder="1" applyAlignment="1">
      <alignment horizontal="center"/>
    </xf>
    <xf numFmtId="2" fontId="0" fillId="3" borderId="18" xfId="0" applyNumberFormat="1" applyFill="1" applyBorder="1" applyAlignment="1">
      <alignment horizontal="center"/>
    </xf>
    <xf numFmtId="0" fontId="2" fillId="11" borderId="47" xfId="0" applyFont="1" applyFill="1" applyBorder="1" applyAlignment="1">
      <alignment horizontal="center"/>
    </xf>
    <xf numFmtId="44" fontId="7" fillId="0" borderId="0" xfId="0" applyNumberFormat="1" applyFont="1"/>
    <xf numFmtId="164" fontId="2" fillId="0" borderId="0" xfId="0" applyNumberFormat="1" applyFont="1"/>
    <xf numFmtId="0" fontId="3" fillId="7" borderId="0" xfId="0" applyFont="1" applyFill="1" applyAlignment="1">
      <alignment horizontal="center"/>
    </xf>
    <xf numFmtId="44" fontId="3" fillId="7" borderId="0" xfId="1" applyFont="1" applyFill="1"/>
    <xf numFmtId="1" fontId="0" fillId="13" borderId="5" xfId="0" applyNumberFormat="1" applyFill="1" applyBorder="1" applyAlignment="1">
      <alignment horizontal="center"/>
    </xf>
    <xf numFmtId="1" fontId="0" fillId="13" borderId="6" xfId="0" applyNumberFormat="1" applyFill="1" applyBorder="1" applyAlignment="1">
      <alignment horizontal="center"/>
    </xf>
    <xf numFmtId="1" fontId="4" fillId="13" borderId="5" xfId="0" applyNumberFormat="1" applyFont="1" applyFill="1" applyBorder="1" applyAlignment="1">
      <alignment horizontal="center"/>
    </xf>
    <xf numFmtId="1" fontId="0" fillId="13" borderId="37" xfId="0" applyNumberFormat="1" applyFill="1" applyBorder="1" applyAlignment="1">
      <alignment horizontal="center"/>
    </xf>
    <xf numFmtId="1" fontId="0" fillId="13" borderId="38" xfId="0" applyNumberFormat="1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2" fontId="0" fillId="13" borderId="43" xfId="0" applyNumberFormat="1" applyFill="1" applyBorder="1" applyAlignment="1">
      <alignment horizontal="center"/>
    </xf>
    <xf numFmtId="2" fontId="0" fillId="13" borderId="44" xfId="0" applyNumberFormat="1" applyFill="1" applyBorder="1" applyAlignment="1">
      <alignment horizontal="center"/>
    </xf>
    <xf numFmtId="2" fontId="0" fillId="13" borderId="45" xfId="0" applyNumberFormat="1" applyFill="1" applyBorder="1" applyAlignment="1">
      <alignment horizontal="center"/>
    </xf>
    <xf numFmtId="2" fontId="3" fillId="7" borderId="0" xfId="1" applyNumberFormat="1" applyFont="1" applyFill="1" applyAlignment="1">
      <alignment horizontal="center"/>
    </xf>
    <xf numFmtId="44" fontId="3" fillId="7" borderId="0" xfId="0" applyNumberFormat="1" applyFont="1" applyFill="1" applyAlignment="1">
      <alignment horizontal="center"/>
    </xf>
    <xf numFmtId="9" fontId="0" fillId="0" borderId="48" xfId="2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0" fillId="0" borderId="4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44" fontId="0" fillId="0" borderId="51" xfId="0" applyNumberFormat="1" applyBorder="1" applyAlignment="1">
      <alignment horizontal="center"/>
    </xf>
    <xf numFmtId="44" fontId="3" fillId="0" borderId="51" xfId="0" applyNumberFormat="1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44" fontId="9" fillId="2" borderId="50" xfId="0" applyNumberFormat="1" applyFont="1" applyFill="1" applyBorder="1" applyAlignment="1">
      <alignment horizontal="center"/>
    </xf>
    <xf numFmtId="0" fontId="0" fillId="0" borderId="31" xfId="0" applyBorder="1"/>
    <xf numFmtId="44" fontId="2" fillId="0" borderId="0" xfId="1" applyFont="1" applyBorder="1"/>
    <xf numFmtId="0" fontId="0" fillId="0" borderId="48" xfId="0" applyBorder="1"/>
    <xf numFmtId="0" fontId="3" fillId="0" borderId="49" xfId="0" applyFont="1" applyBorder="1"/>
    <xf numFmtId="9" fontId="3" fillId="0" borderId="19" xfId="2" applyFont="1" applyBorder="1"/>
    <xf numFmtId="0" fontId="0" fillId="0" borderId="46" xfId="0" applyBorder="1"/>
    <xf numFmtId="44" fontId="3" fillId="2" borderId="3" xfId="0" applyNumberFormat="1" applyFont="1" applyFill="1" applyBorder="1" applyAlignment="1">
      <alignment horizontal="center"/>
    </xf>
    <xf numFmtId="0" fontId="8" fillId="12" borderId="1" xfId="3" applyFont="1" applyFill="1" applyBorder="1" applyAlignment="1">
      <alignment horizontal="left"/>
    </xf>
    <xf numFmtId="1" fontId="8" fillId="12" borderId="2" xfId="1" applyNumberFormat="1" applyFont="1" applyFill="1" applyBorder="1" applyAlignment="1">
      <alignment horizontal="center"/>
    </xf>
    <xf numFmtId="44" fontId="0" fillId="12" borderId="2" xfId="1" applyFont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3" xfId="0" applyFill="1" applyBorder="1"/>
    <xf numFmtId="0" fontId="10" fillId="7" borderId="0" xfId="0" applyFont="1" applyFill="1" applyAlignment="1">
      <alignment horizontal="center"/>
    </xf>
    <xf numFmtId="0" fontId="0" fillId="0" borderId="28" xfId="0" applyBorder="1" applyAlignment="1">
      <alignment horizontal="center" wrapText="1"/>
    </xf>
    <xf numFmtId="0" fontId="12" fillId="14" borderId="0" xfId="0" applyFont="1" applyFill="1" applyAlignment="1">
      <alignment horizontal="right"/>
    </xf>
    <xf numFmtId="44" fontId="0" fillId="0" borderId="48" xfId="0" applyNumberFormat="1" applyBorder="1"/>
    <xf numFmtId="0" fontId="0" fillId="0" borderId="31" xfId="0" applyBorder="1" applyAlignment="1">
      <alignment horizontal="center" wrapText="1"/>
    </xf>
    <xf numFmtId="0" fontId="4" fillId="0" borderId="28" xfId="0" applyFont="1" applyBorder="1" applyAlignment="1">
      <alignment horizontal="center" wrapText="1"/>
    </xf>
    <xf numFmtId="0" fontId="0" fillId="0" borderId="0" xfId="0" applyAlignment="1">
      <alignment vertical="center"/>
    </xf>
    <xf numFmtId="0" fontId="0" fillId="0" borderId="16" xfId="0" applyBorder="1" applyAlignment="1">
      <alignment vertical="center" textRotation="90"/>
    </xf>
    <xf numFmtId="0" fontId="0" fillId="0" borderId="18" xfId="0" applyBorder="1" applyAlignment="1">
      <alignment vertical="center" textRotation="90"/>
    </xf>
    <xf numFmtId="2" fontId="0" fillId="0" borderId="0" xfId="0" applyNumberFormat="1" applyAlignment="1">
      <alignment horizontal="center"/>
    </xf>
    <xf numFmtId="0" fontId="0" fillId="0" borderId="65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6" borderId="68" xfId="0" applyFill="1" applyBorder="1" applyAlignment="1">
      <alignment horizontal="center"/>
    </xf>
    <xf numFmtId="0" fontId="0" fillId="6" borderId="69" xfId="0" applyFill="1" applyBorder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64" xfId="0" applyFill="1" applyBorder="1"/>
    <xf numFmtId="1" fontId="2" fillId="15" borderId="0" xfId="0" applyNumberFormat="1" applyFont="1" applyFill="1"/>
    <xf numFmtId="44" fontId="2" fillId="15" borderId="0" xfId="1" applyFont="1" applyFill="1"/>
    <xf numFmtId="0" fontId="2" fillId="15" borderId="0" xfId="0" applyFont="1" applyFill="1"/>
    <xf numFmtId="0" fontId="0" fillId="15" borderId="65" xfId="0" applyFill="1" applyBorder="1" applyAlignment="1">
      <alignment horizontal="center"/>
    </xf>
    <xf numFmtId="0" fontId="0" fillId="15" borderId="66" xfId="0" applyFill="1" applyBorder="1" applyAlignment="1">
      <alignment horizontal="center"/>
    </xf>
    <xf numFmtId="0" fontId="2" fillId="15" borderId="58" xfId="0" applyFont="1" applyFill="1" applyBorder="1" applyAlignment="1">
      <alignment horizontal="center"/>
    </xf>
    <xf numFmtId="0" fontId="2" fillId="15" borderId="54" xfId="0" applyFont="1" applyFill="1" applyBorder="1" applyAlignment="1">
      <alignment horizontal="center"/>
    </xf>
    <xf numFmtId="0" fontId="2" fillId="15" borderId="59" xfId="0" applyFont="1" applyFill="1" applyBorder="1" applyAlignment="1">
      <alignment horizontal="center"/>
    </xf>
    <xf numFmtId="14" fontId="0" fillId="0" borderId="53" xfId="0" applyNumberFormat="1" applyBorder="1" applyAlignment="1">
      <alignment horizontal="left"/>
    </xf>
    <xf numFmtId="166" fontId="0" fillId="0" borderId="0" xfId="2" applyNumberFormat="1" applyFont="1"/>
    <xf numFmtId="44" fontId="0" fillId="0" borderId="0" xfId="1" applyFont="1" applyAlignment="1">
      <alignment horizontal="center"/>
    </xf>
    <xf numFmtId="44" fontId="7" fillId="6" borderId="0" xfId="0" applyNumberFormat="1" applyFont="1" applyFill="1"/>
    <xf numFmtId="44" fontId="2" fillId="0" borderId="76" xfId="1" applyFont="1" applyFill="1" applyBorder="1"/>
    <xf numFmtId="44" fontId="2" fillId="0" borderId="77" xfId="1" applyFont="1" applyFill="1" applyBorder="1"/>
    <xf numFmtId="44" fontId="2" fillId="0" borderId="78" xfId="1" applyFont="1" applyFill="1" applyBorder="1"/>
    <xf numFmtId="0" fontId="0" fillId="0" borderId="0" xfId="0" applyAlignment="1">
      <alignment horizontal="right"/>
    </xf>
    <xf numFmtId="0" fontId="0" fillId="0" borderId="71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5" xfId="0" applyBorder="1" applyAlignment="1">
      <alignment horizontal="center"/>
    </xf>
    <xf numFmtId="44" fontId="14" fillId="15" borderId="0" xfId="0" applyNumberFormat="1" applyFont="1" applyFill="1"/>
    <xf numFmtId="0" fontId="11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1" fontId="0" fillId="13" borderId="66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72" xfId="0" applyNumberFormat="1" applyBorder="1" applyAlignment="1">
      <alignment horizontal="center"/>
    </xf>
    <xf numFmtId="0" fontId="4" fillId="0" borderId="82" xfId="3" applyFont="1" applyFill="1" applyBorder="1" applyAlignment="1">
      <alignment horizontal="left"/>
    </xf>
    <xf numFmtId="1" fontId="4" fillId="0" borderId="83" xfId="1" applyNumberFormat="1" applyFont="1" applyFill="1" applyBorder="1" applyAlignment="1">
      <alignment horizontal="center"/>
    </xf>
    <xf numFmtId="44" fontId="1" fillId="0" borderId="83" xfId="1" applyFont="1" applyBorder="1" applyAlignment="1">
      <alignment horizontal="center"/>
    </xf>
    <xf numFmtId="0" fontId="0" fillId="0" borderId="83" xfId="0" applyBorder="1" applyAlignment="1">
      <alignment horizontal="center"/>
    </xf>
    <xf numFmtId="44" fontId="1" fillId="0" borderId="84" xfId="1" applyFont="1" applyBorder="1"/>
    <xf numFmtId="0" fontId="4" fillId="0" borderId="85" xfId="3" applyFont="1" applyFill="1" applyBorder="1" applyAlignment="1">
      <alignment horizontal="left"/>
    </xf>
    <xf numFmtId="1" fontId="4" fillId="0" borderId="86" xfId="1" applyNumberFormat="1" applyFont="1" applyFill="1" applyBorder="1" applyAlignment="1">
      <alignment horizontal="center"/>
    </xf>
    <xf numFmtId="44" fontId="1" fillId="0" borderId="86" xfId="1" applyFont="1" applyBorder="1" applyAlignment="1">
      <alignment horizontal="center"/>
    </xf>
    <xf numFmtId="0" fontId="0" fillId="0" borderId="86" xfId="0" applyBorder="1" applyAlignment="1">
      <alignment horizontal="center"/>
    </xf>
    <xf numFmtId="44" fontId="1" fillId="0" borderId="87" xfId="1" applyFont="1" applyBorder="1"/>
    <xf numFmtId="44" fontId="1" fillId="0" borderId="87" xfId="1" applyFont="1" applyBorder="1" applyAlignment="1">
      <alignment horizontal="center"/>
    </xf>
    <xf numFmtId="0" fontId="4" fillId="0" borderId="88" xfId="3" applyFont="1" applyFill="1" applyBorder="1" applyAlignment="1">
      <alignment horizontal="left"/>
    </xf>
    <xf numFmtId="1" fontId="4" fillId="0" borderId="89" xfId="1" applyNumberFormat="1" applyFont="1" applyFill="1" applyBorder="1" applyAlignment="1">
      <alignment horizontal="center"/>
    </xf>
    <xf numFmtId="44" fontId="1" fillId="0" borderId="89" xfId="1" applyFont="1" applyBorder="1" applyAlignment="1">
      <alignment horizontal="center"/>
    </xf>
    <xf numFmtId="0" fontId="0" fillId="0" borderId="89" xfId="0" applyBorder="1" applyAlignment="1">
      <alignment horizontal="center"/>
    </xf>
    <xf numFmtId="44" fontId="1" fillId="0" borderId="90" xfId="1" applyFont="1" applyBorder="1"/>
    <xf numFmtId="0" fontId="2" fillId="15" borderId="53" xfId="0" applyFont="1" applyFill="1" applyBorder="1" applyAlignment="1">
      <alignment horizontal="center"/>
    </xf>
    <xf numFmtId="43" fontId="0" fillId="15" borderId="68" xfId="0" applyNumberFormat="1" applyFill="1" applyBorder="1" applyAlignment="1">
      <alignment horizontal="center"/>
    </xf>
    <xf numFmtId="43" fontId="0" fillId="15" borderId="69" xfId="0" applyNumberFormat="1" applyFill="1" applyBorder="1" applyAlignment="1">
      <alignment horizontal="center"/>
    </xf>
    <xf numFmtId="0" fontId="0" fillId="0" borderId="29" xfId="0" applyBorder="1" applyAlignment="1">
      <alignment horizontal="center"/>
    </xf>
    <xf numFmtId="1" fontId="0" fillId="13" borderId="8" xfId="0" applyNumberFormat="1" applyFill="1" applyBorder="1" applyAlignment="1">
      <alignment horizontal="center"/>
    </xf>
    <xf numFmtId="1" fontId="0" fillId="13" borderId="9" xfId="0" applyNumberFormat="1" applyFill="1" applyBorder="1" applyAlignment="1">
      <alignment horizontal="center"/>
    </xf>
    <xf numFmtId="1" fontId="0" fillId="13" borderId="93" xfId="0" applyNumberFormat="1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164" fontId="0" fillId="4" borderId="41" xfId="0" applyNumberFormat="1" applyFill="1" applyBorder="1" applyAlignment="1">
      <alignment horizontal="center"/>
    </xf>
    <xf numFmtId="44" fontId="0" fillId="4" borderId="15" xfId="0" applyNumberFormat="1" applyFill="1" applyBorder="1" applyAlignment="1">
      <alignment horizontal="center"/>
    </xf>
    <xf numFmtId="44" fontId="0" fillId="4" borderId="42" xfId="0" applyNumberFormat="1" applyFill="1" applyBorder="1" applyAlignment="1">
      <alignment horizontal="center"/>
    </xf>
    <xf numFmtId="2" fontId="0" fillId="3" borderId="41" xfId="0" applyNumberFormat="1" applyFill="1" applyBorder="1" applyAlignment="1">
      <alignment horizontal="center"/>
    </xf>
    <xf numFmtId="44" fontId="0" fillId="3" borderId="15" xfId="0" applyNumberFormat="1" applyFill="1" applyBorder="1" applyAlignment="1">
      <alignment horizontal="center"/>
    </xf>
    <xf numFmtId="44" fontId="0" fillId="3" borderId="42" xfId="0" applyNumberFormat="1" applyFill="1" applyBorder="1" applyAlignment="1">
      <alignment horizontal="center"/>
    </xf>
    <xf numFmtId="44" fontId="0" fillId="8" borderId="18" xfId="0" applyNumberFormat="1" applyFill="1" applyBorder="1" applyAlignment="1">
      <alignment horizontal="center"/>
    </xf>
    <xf numFmtId="2" fontId="0" fillId="13" borderId="46" xfId="0" applyNumberFormat="1" applyFill="1" applyBorder="1" applyAlignment="1">
      <alignment horizontal="center"/>
    </xf>
    <xf numFmtId="44" fontId="0" fillId="8" borderId="46" xfId="1" applyFont="1" applyFill="1" applyBorder="1" applyAlignment="1">
      <alignment horizontal="center"/>
    </xf>
    <xf numFmtId="44" fontId="0" fillId="9" borderId="41" xfId="0" applyNumberFormat="1" applyFill="1" applyBorder="1" applyAlignment="1">
      <alignment horizontal="center"/>
    </xf>
    <xf numFmtId="44" fontId="0" fillId="9" borderId="25" xfId="0" applyNumberFormat="1" applyFill="1" applyBorder="1" applyAlignment="1">
      <alignment horizontal="center"/>
    </xf>
    <xf numFmtId="44" fontId="0" fillId="9" borderId="42" xfId="0" applyNumberFormat="1" applyFill="1" applyBorder="1"/>
    <xf numFmtId="0" fontId="0" fillId="15" borderId="71" xfId="0" applyFill="1" applyBorder="1" applyAlignment="1">
      <alignment horizontal="center"/>
    </xf>
    <xf numFmtId="0" fontId="0" fillId="15" borderId="74" xfId="0" applyFill="1" applyBorder="1" applyAlignment="1">
      <alignment horizontal="center"/>
    </xf>
    <xf numFmtId="0" fontId="7" fillId="10" borderId="94" xfId="0" applyFont="1" applyFill="1" applyBorder="1" applyAlignment="1">
      <alignment horizontal="center"/>
    </xf>
    <xf numFmtId="44" fontId="2" fillId="10" borderId="95" xfId="1" applyFont="1" applyFill="1" applyBorder="1" applyAlignment="1">
      <alignment horizontal="center"/>
    </xf>
    <xf numFmtId="0" fontId="7" fillId="10" borderId="4" xfId="0" applyFont="1" applyFill="1" applyBorder="1" applyAlignment="1">
      <alignment horizontal="center"/>
    </xf>
    <xf numFmtId="44" fontId="2" fillId="10" borderId="6" xfId="1" applyFont="1" applyFill="1" applyBorder="1" applyAlignment="1">
      <alignment horizontal="center"/>
    </xf>
    <xf numFmtId="44" fontId="7" fillId="6" borderId="7" xfId="0" applyNumberFormat="1" applyFont="1" applyFill="1" applyBorder="1" applyAlignment="1">
      <alignment horizontal="center"/>
    </xf>
    <xf numFmtId="44" fontId="7" fillId="6" borderId="9" xfId="0" applyNumberFormat="1" applyFont="1" applyFill="1" applyBorder="1" applyAlignment="1">
      <alignment horizontal="center"/>
    </xf>
    <xf numFmtId="43" fontId="0" fillId="0" borderId="0" xfId="5" applyFont="1"/>
    <xf numFmtId="0" fontId="0" fillId="16" borderId="0" xfId="0" applyFill="1" applyAlignment="1">
      <alignment horizontal="center"/>
    </xf>
    <xf numFmtId="0" fontId="7" fillId="15" borderId="0" xfId="0" applyFont="1" applyFill="1" applyAlignment="1">
      <alignment horizontal="center"/>
    </xf>
    <xf numFmtId="0" fontId="3" fillId="6" borderId="0" xfId="0" applyFont="1" applyFill="1" applyAlignment="1">
      <alignment horizontal="right"/>
    </xf>
    <xf numFmtId="0" fontId="2" fillId="15" borderId="76" xfId="0" applyFont="1" applyFill="1" applyBorder="1" applyAlignment="1">
      <alignment horizontal="center" vertical="center"/>
    </xf>
    <xf numFmtId="0" fontId="2" fillId="15" borderId="77" xfId="0" applyFont="1" applyFill="1" applyBorder="1" applyAlignment="1">
      <alignment horizontal="center" vertical="center"/>
    </xf>
    <xf numFmtId="0" fontId="2" fillId="15" borderId="78" xfId="0" applyFont="1" applyFill="1" applyBorder="1" applyAlignment="1">
      <alignment horizontal="center" vertical="center"/>
    </xf>
    <xf numFmtId="0" fontId="2" fillId="15" borderId="72" xfId="0" applyFont="1" applyFill="1" applyBorder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5" borderId="75" xfId="0" applyFont="1" applyFill="1" applyBorder="1" applyAlignment="1">
      <alignment horizontal="center" vertical="center"/>
    </xf>
    <xf numFmtId="0" fontId="2" fillId="15" borderId="80" xfId="0" applyFont="1" applyFill="1" applyBorder="1" applyAlignment="1">
      <alignment horizontal="center" vertical="center"/>
    </xf>
    <xf numFmtId="0" fontId="2" fillId="15" borderId="62" xfId="0" applyFont="1" applyFill="1" applyBorder="1" applyAlignment="1">
      <alignment horizontal="center"/>
    </xf>
    <xf numFmtId="0" fontId="2" fillId="15" borderId="53" xfId="0" applyFont="1" applyFill="1" applyBorder="1" applyAlignment="1">
      <alignment horizontal="center"/>
    </xf>
    <xf numFmtId="0" fontId="2" fillId="15" borderId="91" xfId="0" applyFont="1" applyFill="1" applyBorder="1" applyAlignment="1">
      <alignment horizontal="center" vertical="center"/>
    </xf>
    <xf numFmtId="0" fontId="2" fillId="15" borderId="92" xfId="0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0" fontId="2" fillId="15" borderId="61" xfId="0" applyFont="1" applyFill="1" applyBorder="1" applyAlignment="1">
      <alignment horizontal="center" vertical="center"/>
    </xf>
    <xf numFmtId="0" fontId="2" fillId="15" borderId="55" xfId="0" applyFont="1" applyFill="1" applyBorder="1" applyAlignment="1">
      <alignment horizontal="center"/>
    </xf>
    <xf numFmtId="0" fontId="2" fillId="15" borderId="56" xfId="0" applyFont="1" applyFill="1" applyBorder="1" applyAlignment="1">
      <alignment horizontal="center"/>
    </xf>
    <xf numFmtId="0" fontId="2" fillId="15" borderId="57" xfId="0" applyFont="1" applyFill="1" applyBorder="1" applyAlignment="1">
      <alignment horizontal="center"/>
    </xf>
    <xf numFmtId="0" fontId="0" fillId="0" borderId="52" xfId="0" applyBorder="1" applyAlignment="1">
      <alignment horizontal="left"/>
    </xf>
    <xf numFmtId="0" fontId="0" fillId="0" borderId="53" xfId="0" applyBorder="1" applyAlignment="1">
      <alignment horizontal="left"/>
    </xf>
    <xf numFmtId="0" fontId="2" fillId="15" borderId="71" xfId="0" applyFont="1" applyFill="1" applyBorder="1" applyAlignment="1">
      <alignment horizontal="center" vertical="center"/>
    </xf>
    <xf numFmtId="0" fontId="2" fillId="15" borderId="79" xfId="0" applyFont="1" applyFill="1" applyBorder="1" applyAlignment="1">
      <alignment horizontal="center" vertical="center"/>
    </xf>
    <xf numFmtId="0" fontId="2" fillId="15" borderId="73" xfId="0" applyFont="1" applyFill="1" applyBorder="1" applyAlignment="1">
      <alignment horizontal="center" vertical="center"/>
    </xf>
    <xf numFmtId="0" fontId="2" fillId="15" borderId="74" xfId="0" applyFont="1" applyFill="1" applyBorder="1" applyAlignment="1">
      <alignment horizontal="center" vertical="center"/>
    </xf>
    <xf numFmtId="0" fontId="2" fillId="15" borderId="81" xfId="0" applyFont="1" applyFill="1" applyBorder="1" applyAlignment="1">
      <alignment horizontal="center" vertical="center"/>
    </xf>
    <xf numFmtId="0" fontId="5" fillId="0" borderId="53" xfId="3" applyBorder="1" applyAlignment="1">
      <alignment horizontal="left"/>
    </xf>
    <xf numFmtId="0" fontId="13" fillId="6" borderId="58" xfId="0" applyFont="1" applyFill="1" applyBorder="1" applyAlignment="1">
      <alignment horizontal="center"/>
    </xf>
    <xf numFmtId="0" fontId="13" fillId="6" borderId="52" xfId="0" applyFont="1" applyFill="1" applyBorder="1" applyAlignment="1">
      <alignment horizontal="center"/>
    </xf>
    <xf numFmtId="0" fontId="13" fillId="6" borderId="59" xfId="0" applyFont="1" applyFill="1" applyBorder="1" applyAlignment="1">
      <alignment horizontal="center"/>
    </xf>
    <xf numFmtId="0" fontId="2" fillId="15" borderId="63" xfId="0" applyFont="1" applyFill="1" applyBorder="1" applyAlignment="1">
      <alignment horizontal="center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9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14" borderId="19" xfId="0" applyFont="1" applyFill="1" applyBorder="1" applyAlignment="1">
      <alignment horizontal="left" wrapText="1"/>
    </xf>
    <xf numFmtId="0" fontId="3" fillId="14" borderId="19" xfId="0" applyFont="1" applyFill="1" applyBorder="1" applyAlignment="1">
      <alignment horizontal="left"/>
    </xf>
    <xf numFmtId="0" fontId="2" fillId="0" borderId="0" xfId="0" applyFont="1" applyAlignment="1">
      <alignment horizontal="center"/>
    </xf>
  </cellXfs>
  <cellStyles count="6">
    <cellStyle name="Comma" xfId="5" builtinId="3"/>
    <cellStyle name="Comma 2" xfId="4" xr:uid="{806B68B4-2037-41D4-A68C-E97A6400AA45}"/>
    <cellStyle name="Currency" xfId="1" builtinId="4"/>
    <cellStyle name="Hyperlink" xfId="3" builtinId="8"/>
    <cellStyle name="Normal" xfId="0" builtinId="0"/>
    <cellStyle name="Percent" xfId="2" builtinId="5"/>
  </cellStyles>
  <dxfs count="7">
    <dxf>
      <fill>
        <patternFill>
          <bgColor rgb="FF92D05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59056</xdr:colOff>
      <xdr:row>0</xdr:row>
      <xdr:rowOff>76200</xdr:rowOff>
    </xdr:from>
    <xdr:to>
      <xdr:col>0</xdr:col>
      <xdr:colOff>600075</xdr:colOff>
      <xdr:row>2</xdr:row>
      <xdr:rowOff>102870</xdr:rowOff>
    </xdr:to>
    <xdr:grpSp>
      <xdr:nvGrpSpPr>
        <xdr:cNvPr id="2" name="9 Grup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9056" y="76200"/>
          <a:ext cx="541019" cy="661670"/>
          <a:chOff x="5134135" y="429686"/>
          <a:chExt cx="1329288" cy="1656080"/>
        </a:xfrm>
      </xdr:grpSpPr>
      <xdr:pic>
        <xdr:nvPicPr>
          <xdr:cNvPr id="3" name="1 Imagen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2"/>
          <a:stretch/>
        </xdr:blipFill>
        <xdr:spPr bwMode="auto">
          <a:xfrm>
            <a:off x="5134135" y="429686"/>
            <a:ext cx="1329288" cy="1374775"/>
          </a:xfrm>
          <a:prstGeom prst="rect">
            <a:avLst/>
          </a:prstGeom>
          <a:noFill/>
        </xdr:spPr>
      </xdr:pic>
      <xdr:pic>
        <xdr:nvPicPr>
          <xdr:cNvPr id="4" name="2 Imagen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74703" y="1820336"/>
            <a:ext cx="1057275" cy="26543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3</xdr:col>
      <xdr:colOff>354330</xdr:colOff>
      <xdr:row>0</xdr:row>
      <xdr:rowOff>0</xdr:rowOff>
    </xdr:from>
    <xdr:to>
      <xdr:col>10</xdr:col>
      <xdr:colOff>516254</xdr:colOff>
      <xdr:row>3</xdr:row>
      <xdr:rowOff>437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891530" y="0"/>
          <a:ext cx="5711824" cy="813237"/>
          <a:chOff x="247774" y="9318518"/>
          <a:chExt cx="3885412" cy="579202"/>
        </a:xfrm>
      </xdr:grpSpPr>
      <xdr:pic>
        <xdr:nvPicPr>
          <xdr:cNvPr id="8" name="Picture 2" descr="C:\Users\Yarinka\Documents\GreenTech Painting-new\Certificates\CaGBC.png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0055" y="9379081"/>
            <a:ext cx="473254" cy="4589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9" name="Picture 4" descr="Image result for GREEN BUSINESS BUREAU PLATINUM SEAL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247774" y="9318518"/>
            <a:ext cx="886948" cy="57920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" name="Picture 14" descr="Image result for BBB ACCREDITED BUSINESS SEA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169998" y="9408444"/>
            <a:ext cx="934570" cy="3699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Picture 29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2639805" y="9410326"/>
            <a:ext cx="627737" cy="35016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" name="Picture 2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3307155" y="9400803"/>
            <a:ext cx="826031" cy="3755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oneCellAnchor>
    <xdr:from>
      <xdr:col>1</xdr:col>
      <xdr:colOff>497360</xdr:colOff>
      <xdr:row>0</xdr:row>
      <xdr:rowOff>11430</xdr:rowOff>
    </xdr:from>
    <xdr:ext cx="2331408" cy="718466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06960" y="11430"/>
          <a:ext cx="2331408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ESTIMATE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onardo Bonil" refreshedDate="45246.382211805554" createdVersion="8" refreshedVersion="8" minRefreshableVersion="3" recordCount="39" xr:uid="{B4BE7ABC-DA33-4EC1-9FA1-E26E34212903}">
  <cacheSource type="worksheet">
    <worksheetSource ref="K4:P43" sheet="Calculations"/>
  </cacheSource>
  <cacheFields count="7">
    <cacheField name="W Finish Type" numFmtId="2">
      <sharedItems containsMixedTypes="1" containsNumber="1" containsInteger="1" minValue="0" maxValue="0" count="3">
        <s v="PM 200 0 FL EXTRA Pro Mar 200 Zero Voc Contractor grade"/>
        <n v="0"/>
        <s v=" "/>
      </sharedItems>
    </cacheField>
    <cacheField name="W Primer paint gal unit" numFmtId="2">
      <sharedItems containsSemiMixedTypes="0" containsString="0" containsNumber="1" minValue="0" maxValue="2.25"/>
    </cacheField>
    <cacheField name="W Finish paint gal unit" numFmtId="2">
      <sharedItems containsSemiMixedTypes="0" containsString="0" containsNumber="1" containsInteger="1" minValue="0" maxValue="6"/>
    </cacheField>
    <cacheField name="C Finish Type" numFmtId="2">
      <sharedItems containsMixedTypes="1" containsNumber="1" containsInteger="1" minValue="0" maxValue="0"/>
    </cacheField>
    <cacheField name="C Primer paint gal unit" numFmtId="2">
      <sharedItems containsSemiMixedTypes="0" containsString="0" containsNumber="1" containsInteger="1" minValue="0" maxValue="0"/>
    </cacheField>
    <cacheField name="C Finish paint gal unit" numFmtId="2">
      <sharedItems containsSemiMixedTypes="0" containsString="0" containsNumber="1" containsInteger="1" minValue="0" maxValue="0"/>
    </cacheField>
    <cacheField name="Field1" numFmtId="0" formula="ROUNDUP(#NAME?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onardo Bonil" refreshedDate="45246.382212268516" createdVersion="8" refreshedVersion="8" minRefreshableVersion="3" recordCount="39" xr:uid="{3E1C3769-F5C0-42E2-AED3-FCBD3A8B8309}">
  <cacheSource type="worksheet">
    <worksheetSource ref="N4:P43" sheet="Calculations"/>
  </cacheSource>
  <cacheFields count="3">
    <cacheField name="C Finish Type" numFmtId="2">
      <sharedItems containsMixedTypes="1" containsNumber="1" containsInteger="1" minValue="0" maxValue="0" count="2">
        <s v="PM 400 0 FL EXTRA Zero Voc Ceiling"/>
        <n v="0"/>
      </sharedItems>
    </cacheField>
    <cacheField name="C Primer paint gal unit" numFmtId="2">
      <sharedItems containsSemiMixedTypes="0" containsString="0" containsNumber="1" containsInteger="1" minValue="0" maxValue="0"/>
    </cacheField>
    <cacheField name="C Finish paint gal unit" numFmtId="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2.25"/>
    <n v="6"/>
    <s v="PM 400 0 FL EXTRA Zero Voc Ceiling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1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  <r>
    <x v="2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  <r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53AADA-0838-47B0-8DB5-E1FEA32FDAE5}" name="WPaint_summary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B6" firstHeaderRow="1" firstDataRow="1" firstDataCol="1"/>
  <pivotFields count="7">
    <pivotField axis="axisRow" showAll="0">
      <items count="4">
        <item x="1"/>
        <item x="2"/>
        <item x="0"/>
        <item t="default"/>
      </items>
    </pivotField>
    <pivotField numFmtId="2" showAll="0"/>
    <pivotField dataField="1" numFmtId="2" showAll="0"/>
    <pivotField showAll="0"/>
    <pivotField numFmtId="2" showAll="0"/>
    <pivotField numFmtId="2" showAll="0"/>
    <pivotField dragToRow="0" dragToCol="0" dragToPage="0"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um of W Finish paint gal unit" fld="2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831EC-5736-4CAD-B5C1-44E037C85998}" name="CPaint_summary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B5" firstHeaderRow="1" firstDataRow="1" firstDataCol="1"/>
  <pivotFields count="3">
    <pivotField axis="axisRow" showAll="0">
      <items count="3">
        <item x="1"/>
        <item x="0"/>
        <item t="default"/>
      </items>
    </pivotField>
    <pivotField numFmtId="2" showAll="0"/>
    <pivotField dataField="1" numFmtId="2"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Sum of C Finish paint gal unit" fld="2" baseField="0" baseItem="0" numFmtId="2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24379173-B112-405D-8730-2F15B2311ADC}" autoFormatId="16" applyNumberFormats="0" applyBorderFormats="0" applyFontFormats="0" applyPatternFormats="0" applyAlignmentFormats="0" applyWidthHeightFormats="0">
  <queryTableRefresh nextId="19" unboundColumnsRight="1">
    <queryTableFields count="16">
      <queryTableField id="1" name="Vendor" tableColumnId="1"/>
      <queryTableField id="2" name="Sales Number" tableColumnId="2"/>
      <queryTableField id="3" name=" Description " tableColumnId="3"/>
      <queryTableField id="4" name="Unit Price" tableColumnId="4"/>
      <queryTableField id="5" name="New Price" tableColumnId="5"/>
      <queryTableField id="6" name="Quantity" tableColumnId="6"/>
      <queryTableField id="7" name="U/M" tableColumnId="7"/>
      <queryTableField id="8" name="Tax" tableColumnId="8"/>
      <queryTableField id="9" name="Price GT" tableColumnId="9"/>
      <queryTableField id="10" name="% margin" tableColumnId="10"/>
      <queryTableField id="11" name="Price customer" tableColumnId="11"/>
      <queryTableField id="12" name="Coverage Sf" tableColumnId="12"/>
      <queryTableField id="13" name="Price Sf" tableColumnId="13"/>
      <queryTableField id="17" name="Applicacion" tableColumnId="17"/>
      <queryTableField id="15" name="Column15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EDA2BA-31D2-443D-A8D9-D1CABE878DF9}" name="Table_Paint_Unified" displayName="Table_Paint_Unified" ref="A1:P31" tableType="queryTable" totalsRowShown="0">
  <autoFilter ref="A1:P31" xr:uid="{F58610DD-66DB-4D7D-9318-8C8E0DBB33E3}"/>
  <tableColumns count="16">
    <tableColumn id="1" xr3:uid="{0828DFF6-0C33-453E-B02D-D1C13D98A0F8}" uniqueName="1" name="Vendor" queryTableFieldId="1" dataDxfId="4"/>
    <tableColumn id="2" xr3:uid="{1A588F9F-881C-4026-A29B-D7B188779619}" uniqueName="2" name="Sales Number" queryTableFieldId="2"/>
    <tableColumn id="3" xr3:uid="{8BAE379E-AA41-421E-A637-645C0C94FD27}" uniqueName="3" name=" Description " queryTableFieldId="3" dataDxfId="3"/>
    <tableColumn id="4" xr3:uid="{584059C3-1A81-4499-AC99-E8B72D1D4537}" uniqueName="4" name="Unit Price" queryTableFieldId="4"/>
    <tableColumn id="5" xr3:uid="{2EECE823-8AE5-4F27-B3EE-81EA0BA80ABB}" uniqueName="5" name="New Price" queryTableFieldId="5"/>
    <tableColumn id="6" xr3:uid="{1FE75116-BC3E-4BAC-8F73-BB9CF639E095}" uniqueName="6" name="Quantity" queryTableFieldId="6"/>
    <tableColumn id="7" xr3:uid="{E7224DA5-A68D-4B84-9D35-CE3B020B648A}" uniqueName="7" name="U/M" queryTableFieldId="7" dataDxfId="2"/>
    <tableColumn id="8" xr3:uid="{33F1E9C8-EB2E-4A17-917D-A36CD0837ED4}" uniqueName="8" name="Tax" queryTableFieldId="8"/>
    <tableColumn id="9" xr3:uid="{CB18B03B-77AC-49A5-B8AC-BB50DE07DAA3}" uniqueName="9" name="Price GT" queryTableFieldId="9" dataCellStyle="Comma"/>
    <tableColumn id="10" xr3:uid="{74C1A8EE-3C46-48DD-9F50-AB9DB0A3CC74}" uniqueName="10" name="% margin" queryTableFieldId="10"/>
    <tableColumn id="11" xr3:uid="{103D5696-79AA-4932-B6AE-1F4A6A221677}" uniqueName="11" name="Price customer" queryTableFieldId="11" dataCellStyle="Comma"/>
    <tableColumn id="12" xr3:uid="{D7EA31F0-D8BA-43BC-9B30-4FFB41EF2226}" uniqueName="12" name="Coverage Sf" queryTableFieldId="12"/>
    <tableColumn id="13" xr3:uid="{C54FAC9F-6446-4C76-9CF5-663C8D1CF7F9}" uniqueName="13" name="Price Sf" queryTableFieldId="13"/>
    <tableColumn id="17" xr3:uid="{792E760E-157D-4636-9D99-50D1EFED2FFA}" uniqueName="17" name="Applicacion" queryTableFieldId="17"/>
    <tableColumn id="15" xr3:uid="{02362017-5CB5-4B79-AB47-85F2A6C7BEF9}" uniqueName="15" name="Column15" queryTableFieldId="15"/>
    <tableColumn id="16" xr3:uid="{F98A7926-6F1B-4301-A414-B3152258066E}" uniqueName="16" name="Column1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E3077-CD1E-4A1D-B445-453BE30D0ADB}">
  <sheetPr codeName="Sheet2"/>
  <dimension ref="A1:U37"/>
  <sheetViews>
    <sheetView showGridLines="0" tabSelected="1" topLeftCell="B6" zoomScaleNormal="100" zoomScaleSheetLayoutView="100" workbookViewId="0">
      <selection activeCell="I14" sqref="I14"/>
    </sheetView>
  </sheetViews>
  <sheetFormatPr baseColWidth="10" defaultColWidth="8.83203125" defaultRowHeight="15" x14ac:dyDescent="0.2"/>
  <cols>
    <col min="1" max="1" width="10.5" customWidth="1"/>
    <col min="2" max="2" width="52" customWidth="1"/>
    <col min="3" max="5" width="10.1640625" customWidth="1"/>
    <col min="7" max="7" width="10.83203125" customWidth="1"/>
    <col min="9" max="9" width="12.5" customWidth="1"/>
    <col min="10" max="10" width="11.5" bestFit="1" customWidth="1"/>
    <col min="11" max="11" width="10.5" bestFit="1" customWidth="1"/>
  </cols>
  <sheetData>
    <row r="1" spans="1:21" ht="22.25" customHeight="1" x14ac:dyDescent="0.2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</row>
    <row r="2" spans="1:21" ht="28.25" customHeight="1" x14ac:dyDescent="0.2">
      <c r="A2" s="269"/>
      <c r="B2" s="269"/>
      <c r="C2" s="269"/>
      <c r="D2" s="269"/>
      <c r="E2" s="269"/>
      <c r="F2" s="269"/>
      <c r="G2" s="269"/>
      <c r="H2" s="269"/>
      <c r="I2" s="269"/>
      <c r="J2" s="269"/>
      <c r="K2" s="269"/>
    </row>
    <row r="3" spans="1:21" ht="14.5" customHeight="1" x14ac:dyDescent="0.2">
      <c r="A3" s="269"/>
      <c r="B3" s="269"/>
      <c r="C3" s="269"/>
      <c r="D3" s="269"/>
      <c r="E3" s="269"/>
      <c r="F3" s="269"/>
      <c r="G3" s="269"/>
      <c r="H3" s="269"/>
      <c r="I3" s="269"/>
      <c r="J3" s="269"/>
      <c r="K3" s="269"/>
    </row>
    <row r="4" spans="1:21" x14ac:dyDescent="0.2">
      <c r="A4" s="198" t="s">
        <v>142</v>
      </c>
      <c r="B4" s="288"/>
      <c r="C4" s="288"/>
      <c r="D4" s="288"/>
      <c r="E4" s="193"/>
      <c r="F4" s="285" t="s">
        <v>160</v>
      </c>
      <c r="G4" s="286"/>
      <c r="H4" s="287"/>
      <c r="I4" s="193"/>
      <c r="J4" s="193"/>
      <c r="K4" s="193"/>
    </row>
    <row r="5" spans="1:21" x14ac:dyDescent="0.2">
      <c r="A5" s="198" t="s">
        <v>143</v>
      </c>
      <c r="B5" s="289" t="s">
        <v>225</v>
      </c>
      <c r="C5" s="289"/>
      <c r="D5" s="289"/>
      <c r="E5" s="193"/>
      <c r="F5" s="296" t="s">
        <v>148</v>
      </c>
      <c r="G5" s="297"/>
      <c r="H5" s="298"/>
      <c r="I5" s="193"/>
      <c r="J5" s="193"/>
      <c r="K5" s="193"/>
    </row>
    <row r="6" spans="1:21" x14ac:dyDescent="0.2">
      <c r="A6" s="198" t="s">
        <v>144</v>
      </c>
      <c r="B6" s="289"/>
      <c r="C6" s="289"/>
      <c r="D6" s="289"/>
      <c r="E6" s="193"/>
      <c r="F6" s="193"/>
      <c r="G6" s="193"/>
      <c r="H6" s="193"/>
      <c r="I6" s="193"/>
      <c r="J6" s="193"/>
      <c r="K6" s="193"/>
    </row>
    <row r="7" spans="1:21" x14ac:dyDescent="0.2">
      <c r="A7" s="198" t="s">
        <v>145</v>
      </c>
      <c r="B7" s="295"/>
      <c r="C7" s="289"/>
      <c r="D7" s="289"/>
      <c r="E7" s="193"/>
      <c r="F7" s="193"/>
      <c r="G7" s="193"/>
      <c r="H7" s="193"/>
      <c r="I7" s="193"/>
      <c r="J7" s="193"/>
      <c r="K7" s="193"/>
    </row>
    <row r="8" spans="1:21" x14ac:dyDescent="0.2">
      <c r="A8" s="198" t="s">
        <v>146</v>
      </c>
      <c r="B8" s="204"/>
      <c r="C8" s="193"/>
      <c r="D8" s="193"/>
      <c r="E8" s="193"/>
      <c r="F8" s="193"/>
      <c r="G8" s="193"/>
      <c r="H8" s="193"/>
      <c r="I8" s="193"/>
      <c r="J8" s="193"/>
      <c r="K8" s="193"/>
    </row>
    <row r="9" spans="1:21" x14ac:dyDescent="0.2">
      <c r="A9" s="193"/>
      <c r="B9" s="193"/>
      <c r="C9" s="193"/>
      <c r="D9" s="193"/>
      <c r="E9" s="193"/>
      <c r="F9" s="193"/>
      <c r="G9" s="193"/>
      <c r="H9" s="193"/>
      <c r="I9" s="193"/>
      <c r="J9" s="193"/>
      <c r="K9" s="193"/>
    </row>
    <row r="10" spans="1:21" x14ac:dyDescent="0.2">
      <c r="A10" s="193"/>
      <c r="B10" s="193"/>
      <c r="C10" s="193"/>
      <c r="D10" s="193"/>
      <c r="E10" s="193"/>
      <c r="F10" s="193"/>
      <c r="G10" s="193"/>
      <c r="H10" s="193"/>
      <c r="I10" s="193"/>
      <c r="J10" s="193"/>
      <c r="K10" s="193"/>
    </row>
    <row r="11" spans="1:21" x14ac:dyDescent="0.2">
      <c r="A11" s="283" t="s">
        <v>132</v>
      </c>
      <c r="B11" s="283" t="s">
        <v>134</v>
      </c>
      <c r="C11" s="279" t="s">
        <v>141</v>
      </c>
      <c r="D11" s="280"/>
      <c r="E11" s="299"/>
      <c r="F11" s="300" t="s">
        <v>137</v>
      </c>
      <c r="G11" s="300" t="s">
        <v>208</v>
      </c>
      <c r="H11" s="279" t="s">
        <v>140</v>
      </c>
      <c r="I11" s="280"/>
      <c r="J11" s="281" t="s">
        <v>0</v>
      </c>
      <c r="K11" s="193"/>
    </row>
    <row r="12" spans="1:21" x14ac:dyDescent="0.2">
      <c r="A12" s="284"/>
      <c r="B12" s="284"/>
      <c r="C12" s="201" t="s">
        <v>133</v>
      </c>
      <c r="D12" s="202" t="s">
        <v>135</v>
      </c>
      <c r="E12" s="203" t="s">
        <v>136</v>
      </c>
      <c r="F12" s="301"/>
      <c r="G12" s="301"/>
      <c r="H12" s="202" t="s">
        <v>63</v>
      </c>
      <c r="I12" s="240" t="s">
        <v>84</v>
      </c>
      <c r="J12" s="282"/>
      <c r="K12" s="194"/>
      <c r="M12" s="2"/>
      <c r="N12" s="2"/>
      <c r="O12" s="2"/>
      <c r="P12" s="2"/>
      <c r="Q12" s="2"/>
      <c r="R12" s="2"/>
      <c r="S12" s="2"/>
      <c r="T12" s="2"/>
      <c r="U12" s="2"/>
    </row>
    <row r="13" spans="1:21" x14ac:dyDescent="0.2">
      <c r="A13" s="199">
        <v>1</v>
      </c>
      <c r="B13" s="185" t="s">
        <v>219</v>
      </c>
      <c r="C13" s="187">
        <v>2</v>
      </c>
      <c r="D13" s="187">
        <v>2</v>
      </c>
      <c r="E13" s="187">
        <v>4</v>
      </c>
      <c r="F13" s="191" t="s">
        <v>138</v>
      </c>
      <c r="G13" s="191" t="s">
        <v>139</v>
      </c>
      <c r="H13" s="187">
        <v>1</v>
      </c>
      <c r="I13" s="188">
        <v>1</v>
      </c>
      <c r="J13" s="241">
        <f>IFERROR('Areas and paint'!L5+'Areas and paint'!O5,0)</f>
        <v>72</v>
      </c>
      <c r="K13" s="193"/>
    </row>
    <row r="14" spans="1:21" x14ac:dyDescent="0.2">
      <c r="A14" s="200">
        <v>2</v>
      </c>
      <c r="B14" s="186" t="s">
        <v>217</v>
      </c>
      <c r="C14" s="189">
        <v>1</v>
      </c>
      <c r="D14" s="189">
        <v>2</v>
      </c>
      <c r="E14" s="189">
        <v>3</v>
      </c>
      <c r="F14" s="192" t="s">
        <v>139</v>
      </c>
      <c r="G14" s="192" t="s">
        <v>138</v>
      </c>
      <c r="H14" s="189">
        <v>1</v>
      </c>
      <c r="I14" s="190">
        <v>1</v>
      </c>
      <c r="J14" s="242">
        <f>IFERROR('Areas and paint'!L6+'Areas and paint'!O6,0)</f>
        <v>36</v>
      </c>
      <c r="K14" s="193"/>
    </row>
    <row r="15" spans="1:21" x14ac:dyDescent="0.2">
      <c r="A15" s="200">
        <v>3</v>
      </c>
      <c r="B15" s="186" t="s">
        <v>180</v>
      </c>
      <c r="C15" s="189">
        <v>2</v>
      </c>
      <c r="D15" s="189">
        <v>5</v>
      </c>
      <c r="E15" s="189">
        <v>6</v>
      </c>
      <c r="F15" s="192" t="s">
        <v>138</v>
      </c>
      <c r="G15" s="192" t="s">
        <v>138</v>
      </c>
      <c r="H15" s="189">
        <v>1</v>
      </c>
      <c r="I15" s="190">
        <v>1</v>
      </c>
      <c r="J15" s="242">
        <f>IFERROR('Areas and paint'!L7+'Areas and paint'!O7,0)</f>
        <v>188</v>
      </c>
      <c r="K15" s="193"/>
    </row>
    <row r="16" spans="1:21" x14ac:dyDescent="0.2">
      <c r="A16" s="200">
        <v>4</v>
      </c>
      <c r="B16" s="186" t="s">
        <v>183</v>
      </c>
      <c r="C16" s="189">
        <v>3</v>
      </c>
      <c r="D16" s="189">
        <v>3</v>
      </c>
      <c r="E16" s="189">
        <v>5</v>
      </c>
      <c r="F16" s="192" t="s">
        <v>139</v>
      </c>
      <c r="G16" s="192" t="s">
        <v>138</v>
      </c>
      <c r="H16" s="189">
        <v>1</v>
      </c>
      <c r="I16" s="190">
        <v>1</v>
      </c>
      <c r="J16" s="242">
        <f>IFERROR('Areas and paint'!L8+'Areas and paint'!O8,0)</f>
        <v>120</v>
      </c>
      <c r="K16" s="193"/>
    </row>
    <row r="17" spans="1:11" x14ac:dyDescent="0.2">
      <c r="A17" s="200">
        <v>5</v>
      </c>
      <c r="B17" s="186" t="s">
        <v>218</v>
      </c>
      <c r="C17" s="189">
        <v>9</v>
      </c>
      <c r="D17" s="189">
        <v>8</v>
      </c>
      <c r="E17" s="189">
        <v>5</v>
      </c>
      <c r="F17" s="192" t="s">
        <v>138</v>
      </c>
      <c r="G17" s="192" t="s">
        <v>139</v>
      </c>
      <c r="H17" s="189">
        <v>1</v>
      </c>
      <c r="I17" s="190">
        <v>1</v>
      </c>
      <c r="J17" s="242">
        <f>IFERROR('Areas and paint'!L9+'Areas and paint'!O9,0)</f>
        <v>484</v>
      </c>
      <c r="K17" s="193"/>
    </row>
    <row r="18" spans="1:11" x14ac:dyDescent="0.2">
      <c r="A18" s="200">
        <v>6</v>
      </c>
      <c r="B18" s="186" t="s">
        <v>183</v>
      </c>
      <c r="C18" s="189">
        <v>5</v>
      </c>
      <c r="D18" s="189">
        <v>6</v>
      </c>
      <c r="E18" s="189">
        <v>7</v>
      </c>
      <c r="F18" s="192" t="s">
        <v>138</v>
      </c>
      <c r="G18" s="192" t="s">
        <v>139</v>
      </c>
      <c r="H18" s="189">
        <v>1</v>
      </c>
      <c r="I18" s="190">
        <v>1</v>
      </c>
      <c r="J18" s="242">
        <f>IFERROR('Areas and paint'!L10+'Areas and paint'!O10,0)</f>
        <v>368</v>
      </c>
      <c r="K18" s="193"/>
    </row>
    <row r="19" spans="1:11" x14ac:dyDescent="0.2">
      <c r="A19" s="200">
        <v>7</v>
      </c>
      <c r="B19" s="186" t="s">
        <v>180</v>
      </c>
      <c r="C19" s="189">
        <v>7</v>
      </c>
      <c r="D19" s="189">
        <v>10</v>
      </c>
      <c r="E19" s="189">
        <v>15</v>
      </c>
      <c r="F19" s="192" t="s">
        <v>139</v>
      </c>
      <c r="G19" s="192" t="s">
        <v>139</v>
      </c>
      <c r="H19" s="189">
        <v>1</v>
      </c>
      <c r="I19" s="190">
        <v>1</v>
      </c>
      <c r="J19" s="242">
        <f>IFERROR('Areas and paint'!L11+'Areas and paint'!O11,0)</f>
        <v>1020</v>
      </c>
      <c r="K19" s="193"/>
    </row>
    <row r="20" spans="1:11" x14ac:dyDescent="0.2">
      <c r="A20" s="200">
        <v>8</v>
      </c>
      <c r="B20" s="186" t="s">
        <v>218</v>
      </c>
      <c r="C20" s="189">
        <v>12</v>
      </c>
      <c r="D20" s="189">
        <v>10</v>
      </c>
      <c r="E20" s="189">
        <v>11</v>
      </c>
      <c r="F20" s="192" t="s">
        <v>139</v>
      </c>
      <c r="G20" s="192" t="s">
        <v>139</v>
      </c>
      <c r="H20" s="189">
        <v>1</v>
      </c>
      <c r="I20" s="190">
        <v>1</v>
      </c>
      <c r="J20" s="242">
        <f>IFERROR('Areas and paint'!L12+'Areas and paint'!O12,0)</f>
        <v>968</v>
      </c>
      <c r="K20" s="193"/>
    </row>
    <row r="21" spans="1:11" x14ac:dyDescent="0.2">
      <c r="A21" s="200">
        <v>9</v>
      </c>
      <c r="B21" s="186" t="s">
        <v>183</v>
      </c>
      <c r="C21" s="189">
        <v>7</v>
      </c>
      <c r="D21" s="189">
        <v>9</v>
      </c>
      <c r="E21" s="189">
        <v>12</v>
      </c>
      <c r="F21" s="192" t="s">
        <v>139</v>
      </c>
      <c r="G21" s="192" t="s">
        <v>139</v>
      </c>
      <c r="H21" s="189">
        <v>1</v>
      </c>
      <c r="I21" s="190">
        <v>1</v>
      </c>
      <c r="J21" s="242">
        <f>IFERROR('Areas and paint'!L13+'Areas and paint'!O13,0)</f>
        <v>768</v>
      </c>
      <c r="K21" s="193"/>
    </row>
    <row r="22" spans="1:11" x14ac:dyDescent="0.2">
      <c r="A22" s="200">
        <v>10</v>
      </c>
      <c r="B22" s="186"/>
      <c r="C22" s="189"/>
      <c r="D22" s="189"/>
      <c r="E22" s="189"/>
      <c r="F22" s="192" t="s">
        <v>139</v>
      </c>
      <c r="G22" s="192" t="s">
        <v>139</v>
      </c>
      <c r="H22" s="189"/>
      <c r="I22" s="190"/>
      <c r="J22" s="242">
        <f>IFERROR('Areas and paint'!L14+'Areas and paint'!O14,0)</f>
        <v>0</v>
      </c>
      <c r="K22" s="193"/>
    </row>
    <row r="23" spans="1:11" x14ac:dyDescent="0.2">
      <c r="A23" s="200">
        <v>11</v>
      </c>
      <c r="B23" s="186"/>
      <c r="C23" s="189"/>
      <c r="D23" s="189"/>
      <c r="E23" s="189"/>
      <c r="F23" s="192" t="s">
        <v>139</v>
      </c>
      <c r="G23" s="192" t="s">
        <v>139</v>
      </c>
      <c r="H23" s="189"/>
      <c r="I23" s="190"/>
      <c r="J23" s="242">
        <f>IFERROR('Areas and paint'!L15+'Areas and paint'!O15,0)</f>
        <v>0</v>
      </c>
      <c r="K23" s="193"/>
    </row>
    <row r="24" spans="1:11" x14ac:dyDescent="0.2">
      <c r="A24" s="200">
        <v>12</v>
      </c>
      <c r="B24" s="186"/>
      <c r="C24" s="189"/>
      <c r="D24" s="189"/>
      <c r="E24" s="189"/>
      <c r="F24" s="192" t="s">
        <v>139</v>
      </c>
      <c r="G24" s="192" t="s">
        <v>139</v>
      </c>
      <c r="H24" s="189"/>
      <c r="I24" s="190"/>
      <c r="J24" s="242">
        <f>IFERROR('Areas and paint'!L16+'Areas and paint'!O16,0)</f>
        <v>0</v>
      </c>
      <c r="K24" s="193"/>
    </row>
    <row r="25" spans="1:11" x14ac:dyDescent="0.2">
      <c r="A25" s="200">
        <v>13</v>
      </c>
      <c r="B25" s="186"/>
      <c r="C25" s="189"/>
      <c r="D25" s="189"/>
      <c r="E25" s="189"/>
      <c r="F25" s="192" t="s">
        <v>139</v>
      </c>
      <c r="G25" s="192" t="s">
        <v>139</v>
      </c>
      <c r="H25" s="189"/>
      <c r="I25" s="190"/>
      <c r="J25" s="242">
        <f>IFERROR('Areas and paint'!L17+'Areas and paint'!O17,0)</f>
        <v>0</v>
      </c>
      <c r="K25" s="193"/>
    </row>
    <row r="26" spans="1:11" x14ac:dyDescent="0.2">
      <c r="A26" s="200">
        <v>14</v>
      </c>
      <c r="B26" s="186"/>
      <c r="C26" s="189"/>
      <c r="D26" s="189"/>
      <c r="E26" s="189"/>
      <c r="F26" s="192" t="s">
        <v>139</v>
      </c>
      <c r="G26" s="192" t="s">
        <v>139</v>
      </c>
      <c r="H26" s="189"/>
      <c r="I26" s="190"/>
      <c r="J26" s="242">
        <f>IFERROR('Areas and paint'!L18+'Areas and paint'!O18,0)</f>
        <v>0</v>
      </c>
      <c r="K26" s="193"/>
    </row>
    <row r="27" spans="1:11" x14ac:dyDescent="0.2">
      <c r="A27" s="200">
        <v>15</v>
      </c>
      <c r="B27" s="186"/>
      <c r="C27" s="189"/>
      <c r="D27" s="189"/>
      <c r="E27" s="189"/>
      <c r="F27" s="192" t="s">
        <v>139</v>
      </c>
      <c r="G27" s="192" t="s">
        <v>139</v>
      </c>
      <c r="H27" s="189"/>
      <c r="I27" s="190"/>
      <c r="J27" s="242">
        <f>IFERROR('Areas and paint'!L19+'Areas and paint'!O19,0)</f>
        <v>0</v>
      </c>
      <c r="K27" s="195"/>
    </row>
    <row r="28" spans="1:11" x14ac:dyDescent="0.2">
      <c r="A28" s="193"/>
      <c r="B28" s="193"/>
      <c r="C28" s="193"/>
      <c r="D28" s="193"/>
      <c r="E28" s="193"/>
      <c r="F28" s="193"/>
      <c r="G28" s="193"/>
      <c r="H28" s="198" t="s">
        <v>162</v>
      </c>
      <c r="I28" s="198"/>
      <c r="J28" s="196">
        <f>SUM(J13:J27)</f>
        <v>4024</v>
      </c>
      <c r="K28" s="217">
        <f>J29/J28</f>
        <v>0.75333333333333319</v>
      </c>
    </row>
    <row r="29" spans="1:11" x14ac:dyDescent="0.2">
      <c r="A29" s="193"/>
      <c r="B29" s="193"/>
      <c r="C29" s="193"/>
      <c r="D29" s="193"/>
      <c r="E29" s="193"/>
      <c r="F29" s="193"/>
      <c r="G29" s="193"/>
      <c r="H29" s="198" t="s">
        <v>163</v>
      </c>
      <c r="I29" s="198"/>
      <c r="J29" s="197">
        <f>(((IF(F5=List!B3,List!C3,IF('ESTIMATE FORM'!F5=List!B4,List!C4,IF('ESTIMATE FORM'!F5=List!B5,List!C5,"Check input")))))*J28)+(IF(F5='Paint Unified'!R11,'Paint Unified'!R12,IF('ESTIMATE FORM'!F5='Paint Unified'!S11,'Paint Unified'!S12,IF('ESTIMATE FORM'!F5='Paint Unified'!T11,'Paint Unified'!T12,"Check input"))))*'ESTIMATE FORM'!J28</f>
        <v>3031.413333333333</v>
      </c>
      <c r="K29" s="193"/>
    </row>
    <row r="30" spans="1:11" ht="16" x14ac:dyDescent="0.2">
      <c r="A30" s="270" t="s">
        <v>207</v>
      </c>
      <c r="B30" s="270"/>
      <c r="C30" s="270"/>
      <c r="D30" s="270"/>
      <c r="E30" s="270"/>
      <c r="F30" s="270"/>
      <c r="G30" s="270"/>
      <c r="H30" s="270"/>
      <c r="I30" s="270"/>
      <c r="J30" s="270"/>
      <c r="K30" s="193"/>
    </row>
    <row r="31" spans="1:11" x14ac:dyDescent="0.2">
      <c r="A31" s="278" t="s">
        <v>206</v>
      </c>
      <c r="B31" s="212" t="s">
        <v>195</v>
      </c>
      <c r="C31" s="275" t="s">
        <v>187</v>
      </c>
      <c r="D31" s="215">
        <v>2</v>
      </c>
      <c r="E31" s="272" t="s">
        <v>191</v>
      </c>
      <c r="F31" s="215">
        <v>1</v>
      </c>
      <c r="G31" s="290" t="s">
        <v>188</v>
      </c>
      <c r="H31" s="291"/>
      <c r="I31" s="208">
        <f>IFERROR((VLOOKUP(B31,'Doors and accesories'!$B$3:$F$11,5,FALSE))*D31*F31,0)</f>
        <v>69.72</v>
      </c>
      <c r="J31" s="193"/>
      <c r="K31" s="193"/>
    </row>
    <row r="32" spans="1:11" x14ac:dyDescent="0.2">
      <c r="A32" s="278"/>
      <c r="B32" s="213" t="s">
        <v>210</v>
      </c>
      <c r="C32" s="276"/>
      <c r="D32" s="2">
        <v>0</v>
      </c>
      <c r="E32" s="273"/>
      <c r="F32" s="2">
        <v>0</v>
      </c>
      <c r="G32" s="292"/>
      <c r="H32" s="278"/>
      <c r="I32" s="209">
        <f>IFERROR((VLOOKUP(B32,'Doors and accesories'!$B$3:$F$11,5,FALSE))*#REF!*F32,0)</f>
        <v>0</v>
      </c>
      <c r="J32" s="193"/>
      <c r="K32" s="193"/>
    </row>
    <row r="33" spans="1:11" x14ac:dyDescent="0.2">
      <c r="A33" s="278"/>
      <c r="B33" s="213" t="s">
        <v>212</v>
      </c>
      <c r="C33" s="276"/>
      <c r="D33" s="2">
        <v>0</v>
      </c>
      <c r="E33" s="273"/>
      <c r="F33" s="2">
        <v>0</v>
      </c>
      <c r="G33" s="292"/>
      <c r="H33" s="278"/>
      <c r="I33" s="209">
        <f>IFERROR((VLOOKUP(B33,'Doors and accesories'!$B$3:$F$11,5,FALSE))*D32*F33,0)</f>
        <v>0</v>
      </c>
      <c r="J33" s="193"/>
      <c r="K33" s="193"/>
    </row>
    <row r="34" spans="1:11" x14ac:dyDescent="0.2">
      <c r="A34" s="278"/>
      <c r="B34" s="214" t="s">
        <v>198</v>
      </c>
      <c r="C34" s="277"/>
      <c r="D34" s="216">
        <v>0</v>
      </c>
      <c r="E34" s="273"/>
      <c r="F34" s="216">
        <v>0</v>
      </c>
      <c r="G34" s="292"/>
      <c r="H34" s="278"/>
      <c r="I34" s="210">
        <f>IFERROR((VLOOKUP(B34,'Doors and accesories'!$B$3:$F$11,5,FALSE))*D34*F34,0)</f>
        <v>0</v>
      </c>
      <c r="J34" s="193"/>
      <c r="K34" s="193"/>
    </row>
    <row r="35" spans="1:11" x14ac:dyDescent="0.2">
      <c r="A35" s="278" t="s">
        <v>205</v>
      </c>
      <c r="B35" s="260" t="s">
        <v>189</v>
      </c>
      <c r="C35" s="275" t="s">
        <v>190</v>
      </c>
      <c r="D35" s="223">
        <v>1</v>
      </c>
      <c r="E35" s="273"/>
      <c r="F35" s="215">
        <v>2</v>
      </c>
      <c r="G35" s="292"/>
      <c r="H35" s="278"/>
      <c r="I35" s="208">
        <f>IFERROR((VLOOKUP(B35,'Doors and accesories'!$H$3:$L$4,5,FALSE))*'ESTIMATE FORM'!F35*'ESTIMATE FORM'!D35,0)</f>
        <v>2.3048000000000002</v>
      </c>
      <c r="J35" s="193"/>
      <c r="K35" s="193"/>
    </row>
    <row r="36" spans="1:11" x14ac:dyDescent="0.2">
      <c r="A36" s="278"/>
      <c r="B36" s="261" t="s">
        <v>192</v>
      </c>
      <c r="C36" s="277"/>
      <c r="D36" s="216">
        <v>0</v>
      </c>
      <c r="E36" s="274"/>
      <c r="F36" s="216">
        <v>0</v>
      </c>
      <c r="G36" s="293"/>
      <c r="H36" s="294"/>
      <c r="I36" s="210">
        <f>IFERROR((VLOOKUP(B36,'Doors and accesories'!$H$3:$L$4,5,FALSE))*'ESTIMATE FORM'!F36*'ESTIMATE FORM'!D36,0)</f>
        <v>0</v>
      </c>
      <c r="J36" s="193"/>
      <c r="K36" s="193"/>
    </row>
    <row r="37" spans="1:11" ht="19" x14ac:dyDescent="0.25">
      <c r="A37" s="193"/>
      <c r="B37" s="193"/>
      <c r="C37" s="193"/>
      <c r="D37" s="193"/>
      <c r="E37" s="193"/>
      <c r="F37" s="271" t="s">
        <v>193</v>
      </c>
      <c r="G37" s="271"/>
      <c r="H37" s="271"/>
      <c r="I37" s="207">
        <f>I35+I32+I31+J29+I36</f>
        <v>3103.4381333333331</v>
      </c>
      <c r="J37" s="193"/>
      <c r="K37" s="193"/>
    </row>
  </sheetData>
  <sheetProtection formatCells="0" formatColumns="0" formatRows="0" insertColumns="0" insertRows="0" insertHyperlinks="0" deleteColumns="0" deleteRows="0" sort="0" autoFilter="0" pivotTables="0"/>
  <protectedRanges>
    <protectedRange sqref="F5 B4:D7 B8 B13:I27" name="Editable"/>
  </protectedRanges>
  <mergeCells count="23">
    <mergeCell ref="B6:D6"/>
    <mergeCell ref="B7:D7"/>
    <mergeCell ref="F5:H5"/>
    <mergeCell ref="C11:E11"/>
    <mergeCell ref="B11:B12"/>
    <mergeCell ref="F11:F12"/>
    <mergeCell ref="G11:G12"/>
    <mergeCell ref="K1:K3"/>
    <mergeCell ref="A30:J30"/>
    <mergeCell ref="F37:H37"/>
    <mergeCell ref="E31:E36"/>
    <mergeCell ref="C31:C34"/>
    <mergeCell ref="C35:C36"/>
    <mergeCell ref="A31:A34"/>
    <mergeCell ref="A35:A36"/>
    <mergeCell ref="H11:I11"/>
    <mergeCell ref="J11:J12"/>
    <mergeCell ref="A11:A12"/>
    <mergeCell ref="A1:J3"/>
    <mergeCell ref="F4:H4"/>
    <mergeCell ref="B4:D4"/>
    <mergeCell ref="B5:D5"/>
    <mergeCell ref="G31:H36"/>
  </mergeCells>
  <dataValidations count="1">
    <dataValidation allowBlank="1" showInputMessage="1" showErrorMessage="1" error="Select an accesory type" sqref="B35:B36" xr:uid="{86DB0038-62F7-41CB-A438-157C356D627B}"/>
  </dataValidations>
  <pageMargins left="0.7" right="0.7" top="0.75" bottom="0.75" header="0.3" footer="0.3"/>
  <pageSetup scale="82" orientation="landscape" horizontalDpi="360" verticalDpi="360" r:id="rId1"/>
  <colBreaks count="1" manualBreakCount="1">
    <brk id="11" max="36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Please check input" xr:uid="{CA4A1531-CF0B-4A26-97C1-39C833737F7F}">
          <x14:formula1>
            <xm:f>List!$B$3:$B$5</xm:f>
          </x14:formula1>
          <xm:sqref>F5:H5</xm:sqref>
        </x14:dataValidation>
        <x14:dataValidation type="list" allowBlank="1" showInputMessage="1" showErrorMessage="1" errorTitle="Select Yes or Not" xr:uid="{A4E9B6D4-5877-47BA-A442-A8C5E59834E6}">
          <x14:formula1>
            <xm:f>List!$F$3:$F$4</xm:f>
          </x14:formula1>
          <xm:sqref>F14:G27</xm:sqref>
        </x14:dataValidation>
        <x14:dataValidation type="list" showInputMessage="1" showErrorMessage="1" errorTitle="Select Yes or Not" xr:uid="{64E1424A-C566-4C58-8020-66B0A388EAB1}">
          <x14:formula1>
            <xm:f>List!$F$3:$F$4</xm:f>
          </x14:formula1>
          <xm:sqref>F13:G13</xm:sqref>
        </x14:dataValidation>
        <x14:dataValidation type="list" allowBlank="1" showInputMessage="1" showErrorMessage="1" errorTitle="Select a room " xr:uid="{76ED0042-5491-4803-8AA0-CBD29D20E9E7}">
          <x14:formula1>
            <xm:f>List!$K$3:$K$26</xm:f>
          </x14:formula1>
          <xm:sqref>B13:B27</xm:sqref>
        </x14:dataValidation>
        <x14:dataValidation type="list" allowBlank="1" showInputMessage="1" showErrorMessage="1" errorTitle="Select a valid door type" error="Select a valid door type" xr:uid="{D7A226F8-6B2A-4F9D-AC97-1EA964B0A43D}">
          <x14:formula1>
            <xm:f>'Doors and accesories'!$B$3:$B$11</xm:f>
          </x14:formula1>
          <xm:sqref>B31:B34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6B0FE-8634-4E60-90EE-AFB043E9E0E7}">
  <sheetPr codeName="Sheet3"/>
  <dimension ref="A1:AA49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I9" sqref="I9"/>
    </sheetView>
  </sheetViews>
  <sheetFormatPr baseColWidth="10" defaultColWidth="8.83203125" defaultRowHeight="15" outlineLevelRow="1" x14ac:dyDescent="0.2"/>
  <cols>
    <col min="1" max="1" width="3.33203125" customWidth="1"/>
    <col min="2" max="2" width="30.33203125" bestFit="1" customWidth="1"/>
    <col min="3" max="3" width="58.1640625" customWidth="1"/>
    <col min="4" max="4" width="9.83203125" bestFit="1" customWidth="1"/>
    <col min="5" max="5" width="11.5" bestFit="1" customWidth="1"/>
    <col min="6" max="6" width="11.33203125" bestFit="1" customWidth="1"/>
    <col min="7" max="7" width="16.33203125" bestFit="1" customWidth="1"/>
    <col min="8" max="8" width="52" bestFit="1" customWidth="1"/>
    <col min="9" max="9" width="10.6640625" bestFit="1" customWidth="1"/>
    <col min="10" max="10" width="16.6640625" bestFit="1" customWidth="1"/>
    <col min="11" max="11" width="32.33203125" customWidth="1"/>
    <col min="12" max="12" width="10.6640625" bestFit="1" customWidth="1"/>
    <col min="13" max="13" width="14.5" bestFit="1" customWidth="1"/>
    <col min="14" max="14" width="16.6640625" bestFit="1" customWidth="1"/>
    <col min="15" max="15" width="9.83203125" bestFit="1" customWidth="1"/>
    <col min="16" max="16" width="14.33203125" bestFit="1" customWidth="1"/>
    <col min="17" max="17" width="16" bestFit="1" customWidth="1"/>
    <col min="18" max="18" width="15.5" bestFit="1" customWidth="1"/>
    <col min="19" max="19" width="18.33203125" bestFit="1" customWidth="1"/>
    <col min="20" max="20" width="15.5" bestFit="1" customWidth="1"/>
    <col min="21" max="21" width="14.1640625" bestFit="1" customWidth="1"/>
    <col min="22" max="22" width="15.33203125" bestFit="1" customWidth="1"/>
    <col min="23" max="23" width="18.6640625" customWidth="1"/>
    <col min="24" max="24" width="19.1640625" bestFit="1" customWidth="1"/>
    <col min="25" max="25" width="14.6640625" customWidth="1"/>
  </cols>
  <sheetData>
    <row r="1" spans="1:27" ht="27" customHeight="1" thickBot="1" x14ac:dyDescent="0.3">
      <c r="B1" s="177" t="s">
        <v>130</v>
      </c>
      <c r="C1" s="325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S1" s="326"/>
      <c r="T1" s="326"/>
      <c r="U1" s="326"/>
      <c r="V1" s="326"/>
      <c r="W1" s="326"/>
      <c r="X1" s="326"/>
    </row>
    <row r="2" spans="1:27" ht="20" thickBot="1" x14ac:dyDescent="0.3">
      <c r="B2" s="16"/>
      <c r="C2" s="322" t="s">
        <v>69</v>
      </c>
      <c r="D2" s="323"/>
      <c r="E2" s="323"/>
      <c r="F2" s="323"/>
      <c r="G2" s="323"/>
      <c r="H2" s="323"/>
      <c r="I2" s="323"/>
      <c r="J2" s="323"/>
      <c r="K2" s="324"/>
      <c r="L2" s="322" t="s">
        <v>78</v>
      </c>
      <c r="M2" s="323"/>
      <c r="N2" s="323"/>
      <c r="O2" s="323"/>
      <c r="P2" s="323"/>
      <c r="Q2" s="324"/>
      <c r="R2" s="322" t="s">
        <v>97</v>
      </c>
      <c r="S2" s="323"/>
      <c r="T2" s="323"/>
      <c r="U2" s="323"/>
      <c r="V2" s="323"/>
      <c r="W2" s="323"/>
      <c r="X2" s="324"/>
      <c r="Z2" s="315"/>
      <c r="AA2" s="315"/>
    </row>
    <row r="3" spans="1:27" ht="20" thickBot="1" x14ac:dyDescent="0.3">
      <c r="B3" s="16"/>
      <c r="C3" s="319" t="s">
        <v>66</v>
      </c>
      <c r="D3" s="320"/>
      <c r="E3" s="320"/>
      <c r="F3" s="321"/>
      <c r="G3" s="219"/>
      <c r="H3" s="316" t="s">
        <v>65</v>
      </c>
      <c r="I3" s="317"/>
      <c r="J3" s="317"/>
      <c r="K3" s="318"/>
      <c r="L3" s="305" t="s">
        <v>66</v>
      </c>
      <c r="M3" s="306"/>
      <c r="N3" s="307"/>
      <c r="O3" s="302" t="s">
        <v>65</v>
      </c>
      <c r="P3" s="303"/>
      <c r="Q3" s="304"/>
      <c r="R3" s="308" t="s">
        <v>70</v>
      </c>
      <c r="S3" s="309"/>
      <c r="T3" s="309"/>
      <c r="U3" s="309"/>
      <c r="V3" s="310" t="s">
        <v>98</v>
      </c>
      <c r="W3" s="311"/>
      <c r="X3" s="312"/>
    </row>
    <row r="4" spans="1:27" ht="16" thickBot="1" x14ac:dyDescent="0.25">
      <c r="B4" s="18" t="s">
        <v>62</v>
      </c>
      <c r="C4" s="26" t="s">
        <v>67</v>
      </c>
      <c r="D4" s="14" t="s">
        <v>68</v>
      </c>
      <c r="E4" s="14" t="s">
        <v>60</v>
      </c>
      <c r="F4" s="27" t="s">
        <v>61</v>
      </c>
      <c r="G4" s="220" t="s">
        <v>209</v>
      </c>
      <c r="H4" s="39" t="s">
        <v>64</v>
      </c>
      <c r="I4" s="13" t="s">
        <v>68</v>
      </c>
      <c r="J4" s="13" t="s">
        <v>60</v>
      </c>
      <c r="K4" s="40" t="s">
        <v>61</v>
      </c>
      <c r="L4" s="49" t="s">
        <v>0</v>
      </c>
      <c r="M4" s="50" t="s">
        <v>74</v>
      </c>
      <c r="N4" s="51" t="s">
        <v>75</v>
      </c>
      <c r="O4" s="54" t="s">
        <v>0</v>
      </c>
      <c r="P4" s="12" t="s">
        <v>74</v>
      </c>
      <c r="Q4" s="55" t="s">
        <v>75</v>
      </c>
      <c r="R4" s="60" t="s">
        <v>93</v>
      </c>
      <c r="S4" s="61" t="s">
        <v>94</v>
      </c>
      <c r="T4" s="104" t="s">
        <v>92</v>
      </c>
      <c r="U4" s="104" t="s">
        <v>95</v>
      </c>
      <c r="V4" s="75" t="s">
        <v>72</v>
      </c>
      <c r="W4" s="76" t="s">
        <v>73</v>
      </c>
      <c r="X4" s="77" t="s">
        <v>99</v>
      </c>
    </row>
    <row r="5" spans="1:27" ht="16" x14ac:dyDescent="0.2">
      <c r="A5" s="182">
        <v>1</v>
      </c>
      <c r="B5" s="179" t="str">
        <f>'ESTIMATE FORM'!B13</f>
        <v>TV room</v>
      </c>
      <c r="C5" s="35" t="s">
        <v>19</v>
      </c>
      <c r="D5" s="141">
        <f>('ESTIMATE FORM'!C13*'ESTIMATE FORM'!E13)*2+('ESTIMATE FORM'!D13*'ESTIMATE FORM'!E13)*2</f>
        <v>32</v>
      </c>
      <c r="E5" s="141">
        <f>'ESTIMATE FORM'!H13</f>
        <v>1</v>
      </c>
      <c r="F5" s="142">
        <f>'ESTIMATE FORM'!I13</f>
        <v>1</v>
      </c>
      <c r="G5" s="221">
        <f>IF('ESTIMATE FORM'!G13="Yes",(('ESTIMATE FORM'!C13)*2+('ESTIMATE FORM'!D13)*2),0)</f>
        <v>0</v>
      </c>
      <c r="H5" s="41" t="s">
        <v>226</v>
      </c>
      <c r="I5" s="141">
        <f>IF('ESTIMATE FORM'!F13="Yes",'ESTIMATE FORM'!C13*'ESTIMATE FORM'!D13,IF('ESTIMATE FORM'!F13="No",0,"Check input"))</f>
        <v>4</v>
      </c>
      <c r="J5" s="141">
        <f>E5</f>
        <v>1</v>
      </c>
      <c r="K5" s="142">
        <f>F5</f>
        <v>1</v>
      </c>
      <c r="L5" s="52">
        <f>Calculations!F5</f>
        <v>64</v>
      </c>
      <c r="M5" s="69">
        <f>IFERROR((Calculations!D5*Calculations!$D$46)/VLOOKUP($C$21,'Paint Unified'!$C$2:$L$29,10,FALSE),0)</f>
        <v>2.3341634819999997</v>
      </c>
      <c r="N5" s="70">
        <f>IFERROR((Calculations!E5*(VLOOKUP('Areas and paint'!C5,'Paint Unified'!$C$2:$L$29,9,FALSE)))/(VLOOKUP('Areas and paint'!C5,'Paint Unified'!$C$2:$L$29,10,FALSE)),0)</f>
        <v>5.4575013359999991</v>
      </c>
      <c r="O5" s="66">
        <f>Calculations!J5</f>
        <v>8</v>
      </c>
      <c r="P5" s="56">
        <f>IFERROR((Calculations!H5*Calculations!$D$47)/VLOOKUP($C$22,'Paint Unified'!$C$2:$L$29,10,FALSE),0)</f>
        <v>0.29177043524999996</v>
      </c>
      <c r="Q5" s="57">
        <f>IFERROR((Calculations!I5*(VLOOKUP('Areas and paint'!H5,'Paint Unified'!$C$2:$L$29,9,FALSE)))/(VLOOKUP('Areas and paint'!H5,'Paint Unified'!$C$2:$L$29,10,FALSE)),0)</f>
        <v>0</v>
      </c>
      <c r="R5" s="62">
        <f t="shared" ref="R5:R19" si="0">L5*$C$23</f>
        <v>37.119999999999997</v>
      </c>
      <c r="S5" s="62">
        <f t="shared" ref="S5:S19" si="1">O5*$C$23</f>
        <v>4.6399999999999997</v>
      </c>
      <c r="T5" s="148"/>
      <c r="U5" s="105">
        <f t="shared" ref="U5:U19" si="2">T5*$C$24</f>
        <v>0</v>
      </c>
      <c r="V5" s="78">
        <f>M5+N5+P5+Q5</f>
        <v>8.0834352532499985</v>
      </c>
      <c r="W5" s="79">
        <f>R5+S5+U5</f>
        <v>41.76</v>
      </c>
      <c r="X5" s="80">
        <f>V5+W5</f>
        <v>49.843435253249993</v>
      </c>
    </row>
    <row r="6" spans="1:27" ht="16" x14ac:dyDescent="0.2">
      <c r="A6" s="10">
        <v>2</v>
      </c>
      <c r="B6" s="180" t="str">
        <f>'ESTIMATE FORM'!B14</f>
        <v>Foyer</v>
      </c>
      <c r="C6" s="28" t="s">
        <v>19</v>
      </c>
      <c r="D6" s="143">
        <f>('ESTIMATE FORM'!C14*'ESTIMATE FORM'!E14)*2+('ESTIMATE FORM'!D14*'ESTIMATE FORM'!E14)*2</f>
        <v>18</v>
      </c>
      <c r="E6" s="143">
        <f>'ESTIMATE FORM'!H14</f>
        <v>1</v>
      </c>
      <c r="F6" s="142">
        <f>'ESTIMATE FORM'!I14</f>
        <v>1</v>
      </c>
      <c r="G6" s="221">
        <f>IF('ESTIMATE FORM'!G14="Yes",(('ESTIMATE FORM'!C14)*2+('ESTIMATE FORM'!D14)*2),0)</f>
        <v>6</v>
      </c>
      <c r="H6" s="41" t="s">
        <v>227</v>
      </c>
      <c r="I6" s="141">
        <f>IF('ESTIMATE FORM'!F14="Yes",'ESTIMATE FORM'!C14*'ESTIMATE FORM'!D14,IF('ESTIMATE FORM'!F14="No",0,"Check input"))</f>
        <v>0</v>
      </c>
      <c r="J6" s="141">
        <f t="shared" ref="J6:J19" si="3">E6</f>
        <v>1</v>
      </c>
      <c r="K6" s="146">
        <f t="shared" ref="K6:K19" si="4">F6</f>
        <v>1</v>
      </c>
      <c r="L6" s="52">
        <f>Calculations!F6</f>
        <v>36</v>
      </c>
      <c r="M6" s="69">
        <f>IFERROR((Calculations!D6*Calculations!$D$46)/VLOOKUP($C$21,'Paint Unified'!$C$2:$L$29,10,FALSE),0)</f>
        <v>1.3129669586250001</v>
      </c>
      <c r="N6" s="70">
        <f>IFERROR((Calculations!E6*(VLOOKUP('Areas and paint'!C6,'Paint Unified'!$C$2:$L$29,9,FALSE)))/(VLOOKUP('Areas and paint'!C6,'Paint Unified'!$C$2:$L$29,10,FALSE)),0)</f>
        <v>3.0698445014999995</v>
      </c>
      <c r="O6" s="66">
        <f>Calculations!J6</f>
        <v>0</v>
      </c>
      <c r="P6" s="56">
        <f>IFERROR((Calculations!H6*Calculations!$D$47)/VLOOKUP($C$22,'Paint Unified'!$C$2:$L$29,10,FALSE),0)</f>
        <v>0</v>
      </c>
      <c r="Q6" s="57">
        <f>IFERROR((Calculations!I6*(VLOOKUP('Areas and paint'!H6,'Paint Unified'!$C$2:$L$29,9,FALSE)))/(VLOOKUP('Areas and paint'!H6,'Paint Unified'!$C$2:$L$29,10,FALSE)),0)</f>
        <v>0</v>
      </c>
      <c r="R6" s="63">
        <f t="shared" si="0"/>
        <v>20.88</v>
      </c>
      <c r="S6" s="63">
        <f t="shared" si="1"/>
        <v>0</v>
      </c>
      <c r="T6" s="148"/>
      <c r="U6" s="105">
        <f t="shared" si="2"/>
        <v>0</v>
      </c>
      <c r="V6" s="78">
        <f t="shared" ref="V6:V19" si="5">M6+N6+P6+Q6</f>
        <v>4.3828114601249997</v>
      </c>
      <c r="W6" s="79">
        <f t="shared" ref="W6:W19" si="6">R6+S6+U6</f>
        <v>20.88</v>
      </c>
      <c r="X6" s="80">
        <f t="shared" ref="X6:X19" si="7">V6+W6</f>
        <v>25.262811460125</v>
      </c>
    </row>
    <row r="7" spans="1:27" x14ac:dyDescent="0.2">
      <c r="A7" s="10">
        <v>3</v>
      </c>
      <c r="B7" s="19" t="str">
        <f>'ESTIMATE FORM'!B15</f>
        <v>Bedroom</v>
      </c>
      <c r="C7" s="28" t="s">
        <v>18</v>
      </c>
      <c r="D7" s="141">
        <f>('ESTIMATE FORM'!C15*'ESTIMATE FORM'!E15)*2+('ESTIMATE FORM'!D15*'ESTIMATE FORM'!E15)*2</f>
        <v>84</v>
      </c>
      <c r="E7" s="141">
        <f>'ESTIMATE FORM'!H15</f>
        <v>1</v>
      </c>
      <c r="F7" s="142">
        <f>'ESTIMATE FORM'!I15</f>
        <v>1</v>
      </c>
      <c r="G7" s="221">
        <f>IF('ESTIMATE FORM'!G15="Yes",(('ESTIMATE FORM'!C15)*2+('ESTIMATE FORM'!D15)*2),0)</f>
        <v>14</v>
      </c>
      <c r="H7" s="41" t="s">
        <v>226</v>
      </c>
      <c r="I7" s="141">
        <f>IF('ESTIMATE FORM'!F15="Yes",'ESTIMATE FORM'!C15*'ESTIMATE FORM'!D15,IF('ESTIMATE FORM'!F15="No",0,"Check input"))</f>
        <v>10</v>
      </c>
      <c r="J7" s="141">
        <f t="shared" si="3"/>
        <v>1</v>
      </c>
      <c r="K7" s="146">
        <f t="shared" si="4"/>
        <v>1</v>
      </c>
      <c r="L7" s="52">
        <f>Calculations!F7</f>
        <v>168</v>
      </c>
      <c r="M7" s="69">
        <f>IFERROR((Calculations!D7*Calculations!$D$46)/VLOOKUP($C$21,'Paint Unified'!$C$2:$L$29,10,FALSE),0)</f>
        <v>6.1271791402499991</v>
      </c>
      <c r="N7" s="70">
        <f>IFERROR((Calculations!E7*(VLOOKUP('Areas and paint'!C7,'Paint Unified'!$C$2:$L$29,9,FALSE)))/(VLOOKUP('Areas and paint'!C7,'Paint Unified'!$C$2:$L$29,10,FALSE)),0)</f>
        <v>11.212375166999999</v>
      </c>
      <c r="O7" s="66">
        <f>Calculations!J7</f>
        <v>20</v>
      </c>
      <c r="P7" s="56">
        <f>IFERROR((Calculations!H7*Calculations!$D$47)/VLOOKUP($C$22,'Paint Unified'!$C$2:$L$29,10,FALSE),0)</f>
        <v>0.72942608812499998</v>
      </c>
      <c r="Q7" s="57">
        <f>IFERROR((Calculations!I7*(VLOOKUP('Areas and paint'!H7,'Paint Unified'!$C$2:$L$29,9,FALSE)))/(VLOOKUP('Areas and paint'!H7,'Paint Unified'!$C$2:$L$29,10,FALSE)),0)</f>
        <v>0</v>
      </c>
      <c r="R7" s="63">
        <f t="shared" si="0"/>
        <v>97.44</v>
      </c>
      <c r="S7" s="63">
        <f t="shared" si="1"/>
        <v>11.6</v>
      </c>
      <c r="T7" s="148"/>
      <c r="U7" s="105">
        <f t="shared" si="2"/>
        <v>0</v>
      </c>
      <c r="V7" s="78">
        <f t="shared" si="5"/>
        <v>18.068980395374997</v>
      </c>
      <c r="W7" s="79">
        <f t="shared" si="6"/>
        <v>109.03999999999999</v>
      </c>
      <c r="X7" s="80">
        <f t="shared" si="7"/>
        <v>127.10898039537499</v>
      </c>
    </row>
    <row r="8" spans="1:27" x14ac:dyDescent="0.2">
      <c r="A8" s="10">
        <v>4</v>
      </c>
      <c r="B8" s="20" t="str">
        <f>'ESTIMATE FORM'!B16</f>
        <v>Closet</v>
      </c>
      <c r="C8" s="28" t="s">
        <v>20</v>
      </c>
      <c r="D8" s="141">
        <f>('ESTIMATE FORM'!C16*'ESTIMATE FORM'!E16)*2+('ESTIMATE FORM'!D16*'ESTIMATE FORM'!E16)*2</f>
        <v>60</v>
      </c>
      <c r="E8" s="141">
        <f>'ESTIMATE FORM'!H16</f>
        <v>1</v>
      </c>
      <c r="F8" s="142">
        <f>'ESTIMATE FORM'!I16</f>
        <v>1</v>
      </c>
      <c r="G8" s="221">
        <f>IF('ESTIMATE FORM'!G16="Yes",(('ESTIMATE FORM'!C16)*2+('ESTIMATE FORM'!D16)*2),0)</f>
        <v>12</v>
      </c>
      <c r="H8" s="41" t="s">
        <v>226</v>
      </c>
      <c r="I8" s="141">
        <f>IF('ESTIMATE FORM'!F16="Yes",'ESTIMATE FORM'!C16*'ESTIMATE FORM'!D16,IF('ESTIMATE FORM'!F16="No",0,"Check input"))</f>
        <v>0</v>
      </c>
      <c r="J8" s="141">
        <f t="shared" si="3"/>
        <v>1</v>
      </c>
      <c r="K8" s="146">
        <f t="shared" si="4"/>
        <v>1</v>
      </c>
      <c r="L8" s="52">
        <f>Calculations!F8</f>
        <v>120</v>
      </c>
      <c r="M8" s="69">
        <f>IFERROR((Calculations!D8*Calculations!$D$46)/VLOOKUP($C$21,'Paint Unified'!$C$2:$L$29,10,FALSE),0)</f>
        <v>4.3765565287500001</v>
      </c>
      <c r="N8" s="70">
        <f>IFERROR((Calculations!E8*(VLOOKUP('Areas and paint'!C8,'Paint Unified'!$C$2:$L$29,9,FALSE)))/(VLOOKUP('Areas and paint'!C8,'Paint Unified'!$C$2:$L$29,10,FALSE)),0)</f>
        <v>13.313526659999999</v>
      </c>
      <c r="O8" s="66">
        <f>Calculations!J8</f>
        <v>0</v>
      </c>
      <c r="P8" s="56">
        <f>IFERROR((Calculations!H8*Calculations!$D$47)/VLOOKUP($C$22,'Paint Unified'!$C$2:$L$29,10,FALSE),0)</f>
        <v>0</v>
      </c>
      <c r="Q8" s="57">
        <f>IFERROR((Calculations!I8*(VLOOKUP('Areas and paint'!H8,'Paint Unified'!$C$2:$L$29,9,FALSE)))/(VLOOKUP('Areas and paint'!H8,'Paint Unified'!$C$2:$L$29,10,FALSE)),0)</f>
        <v>0</v>
      </c>
      <c r="R8" s="63">
        <f t="shared" si="0"/>
        <v>69.599999999999994</v>
      </c>
      <c r="S8" s="63">
        <f t="shared" si="1"/>
        <v>0</v>
      </c>
      <c r="T8" s="148"/>
      <c r="U8" s="105">
        <f t="shared" si="2"/>
        <v>0</v>
      </c>
      <c r="V8" s="78">
        <f t="shared" si="5"/>
        <v>17.690083188749998</v>
      </c>
      <c r="W8" s="79">
        <f t="shared" si="6"/>
        <v>69.599999999999994</v>
      </c>
      <c r="X8" s="80">
        <f t="shared" si="7"/>
        <v>87.290083188749989</v>
      </c>
    </row>
    <row r="9" spans="1:27" x14ac:dyDescent="0.2">
      <c r="A9" s="10">
        <v>5</v>
      </c>
      <c r="B9" s="19" t="str">
        <f>'ESTIMATE FORM'!B17</f>
        <v>Mechanical room</v>
      </c>
      <c r="C9" s="28" t="s">
        <v>18</v>
      </c>
      <c r="D9" s="141">
        <f>('ESTIMATE FORM'!C17*'ESTIMATE FORM'!E17)*2+('ESTIMATE FORM'!D17*'ESTIMATE FORM'!E17)*2</f>
        <v>170</v>
      </c>
      <c r="E9" s="141">
        <f>'ESTIMATE FORM'!H17</f>
        <v>1</v>
      </c>
      <c r="F9" s="142">
        <f>'ESTIMATE FORM'!I17</f>
        <v>1</v>
      </c>
      <c r="G9" s="221">
        <f>IF('ESTIMATE FORM'!G17="Yes",(('ESTIMATE FORM'!C17)*2+('ESTIMATE FORM'!D17)*2),0)</f>
        <v>0</v>
      </c>
      <c r="H9" s="41" t="s">
        <v>17</v>
      </c>
      <c r="I9" s="141">
        <f>IF('ESTIMATE FORM'!F17="Yes",'ESTIMATE FORM'!C17*'ESTIMATE FORM'!D17,IF('ESTIMATE FORM'!F17="No",0,"Check input"))</f>
        <v>72</v>
      </c>
      <c r="J9" s="141">
        <f t="shared" si="3"/>
        <v>1</v>
      </c>
      <c r="K9" s="146">
        <f t="shared" si="4"/>
        <v>1</v>
      </c>
      <c r="L9" s="52">
        <f>Calculations!F9</f>
        <v>340</v>
      </c>
      <c r="M9" s="69">
        <f>IFERROR((Calculations!D9*Calculations!$D$46)/VLOOKUP($C$21,'Paint Unified'!$C$2:$L$29,10,FALSE),0)</f>
        <v>12.400243498124999</v>
      </c>
      <c r="N9" s="70">
        <f>IFERROR((Calculations!E9*(VLOOKUP('Areas and paint'!C9,'Paint Unified'!$C$2:$L$29,9,FALSE)))/(VLOOKUP('Areas and paint'!C9,'Paint Unified'!$C$2:$L$29,10,FALSE)),0)</f>
        <v>22.691711647499996</v>
      </c>
      <c r="O9" s="66">
        <f>Calculations!J9</f>
        <v>144</v>
      </c>
      <c r="P9" s="56">
        <f>IFERROR((Calculations!H9*Calculations!$D$47)/VLOOKUP($C$22,'Paint Unified'!$C$2:$L$29,10,FALSE),0)</f>
        <v>5.2518678345000005</v>
      </c>
      <c r="Q9" s="57">
        <f>IFERROR((Calculations!I9*(VLOOKUP('Areas and paint'!H9,'Paint Unified'!$C$2:$L$29,9,FALSE)))/(VLOOKUP('Areas and paint'!H9,'Paint Unified'!$C$2:$L$29,10,FALSE)),0)</f>
        <v>8.0487698759999979</v>
      </c>
      <c r="R9" s="63">
        <f t="shared" si="0"/>
        <v>197.2</v>
      </c>
      <c r="S9" s="63">
        <f t="shared" si="1"/>
        <v>83.52</v>
      </c>
      <c r="T9" s="148"/>
      <c r="U9" s="105">
        <f t="shared" si="2"/>
        <v>0</v>
      </c>
      <c r="V9" s="78">
        <f t="shared" si="5"/>
        <v>48.392592856124992</v>
      </c>
      <c r="W9" s="79">
        <f t="shared" si="6"/>
        <v>280.71999999999997</v>
      </c>
      <c r="X9" s="80">
        <f t="shared" si="7"/>
        <v>329.11259285612493</v>
      </c>
    </row>
    <row r="10" spans="1:27" x14ac:dyDescent="0.2">
      <c r="A10" s="10">
        <v>6</v>
      </c>
      <c r="B10" s="19" t="str">
        <f>'ESTIMATE FORM'!B18</f>
        <v>Closet</v>
      </c>
      <c r="C10" s="28" t="s">
        <v>18</v>
      </c>
      <c r="D10" s="141">
        <f>('ESTIMATE FORM'!C18*'ESTIMATE FORM'!E18)*2+('ESTIMATE FORM'!D18*'ESTIMATE FORM'!E18)*2</f>
        <v>154</v>
      </c>
      <c r="E10" s="141">
        <f>'ESTIMATE FORM'!H18</f>
        <v>1</v>
      </c>
      <c r="F10" s="142">
        <f>'ESTIMATE FORM'!I18</f>
        <v>1</v>
      </c>
      <c r="G10" s="221">
        <f>IF('ESTIMATE FORM'!G18="Yes",(('ESTIMATE FORM'!C18)*2+('ESTIMATE FORM'!D18)*2),0)</f>
        <v>0</v>
      </c>
      <c r="H10" s="41" t="s">
        <v>17</v>
      </c>
      <c r="I10" s="141">
        <f>IF('ESTIMATE FORM'!F18="Yes",'ESTIMATE FORM'!C18*'ESTIMATE FORM'!D18,IF('ESTIMATE FORM'!F18="No",0,"Check input"))</f>
        <v>30</v>
      </c>
      <c r="J10" s="141">
        <f t="shared" si="3"/>
        <v>1</v>
      </c>
      <c r="K10" s="146">
        <f t="shared" si="4"/>
        <v>1</v>
      </c>
      <c r="L10" s="52">
        <f>Calculations!F10</f>
        <v>308</v>
      </c>
      <c r="M10" s="69">
        <f>IFERROR((Calculations!D10*Calculations!$D$46)/VLOOKUP($C$21,'Paint Unified'!$C$2:$L$29,10,FALSE),0)</f>
        <v>11.233161757124998</v>
      </c>
      <c r="N10" s="70">
        <f>IFERROR((Calculations!E10*(VLOOKUP('Areas and paint'!C10,'Paint Unified'!$C$2:$L$29,9,FALSE)))/(VLOOKUP('Areas and paint'!C10,'Paint Unified'!$C$2:$L$29,10,FALSE)),0)</f>
        <v>20.5560211395</v>
      </c>
      <c r="O10" s="66">
        <f>Calculations!J10</f>
        <v>60</v>
      </c>
      <c r="P10" s="56">
        <f>IFERROR((Calculations!H10*Calculations!$D$47)/VLOOKUP($C$22,'Paint Unified'!$C$2:$L$29,10,FALSE),0)</f>
        <v>2.1882782643750001</v>
      </c>
      <c r="Q10" s="57">
        <f>IFERROR((Calculations!I10*(VLOOKUP('Areas and paint'!H10,'Paint Unified'!$C$2:$L$29,9,FALSE)))/(VLOOKUP('Areas and paint'!H10,'Paint Unified'!$C$2:$L$29,10,FALSE)),0)</f>
        <v>3.353654114999999</v>
      </c>
      <c r="R10" s="63">
        <f t="shared" si="0"/>
        <v>178.64</v>
      </c>
      <c r="S10" s="63">
        <f t="shared" si="1"/>
        <v>34.799999999999997</v>
      </c>
      <c r="T10" s="148"/>
      <c r="U10" s="105">
        <f t="shared" si="2"/>
        <v>0</v>
      </c>
      <c r="V10" s="78">
        <f t="shared" si="5"/>
        <v>37.331115275999998</v>
      </c>
      <c r="W10" s="79">
        <f t="shared" si="6"/>
        <v>213.44</v>
      </c>
      <c r="X10" s="80">
        <f t="shared" si="7"/>
        <v>250.77111527599999</v>
      </c>
    </row>
    <row r="11" spans="1:27" x14ac:dyDescent="0.2">
      <c r="A11" s="10">
        <v>7</v>
      </c>
      <c r="B11" s="19" t="str">
        <f>'ESTIMATE FORM'!B19</f>
        <v>Bedroom</v>
      </c>
      <c r="C11" s="28" t="s">
        <v>19</v>
      </c>
      <c r="D11" s="141">
        <f>('ESTIMATE FORM'!C19*'ESTIMATE FORM'!E19)*2+('ESTIMATE FORM'!D19*'ESTIMATE FORM'!E19)*2</f>
        <v>510</v>
      </c>
      <c r="E11" s="141">
        <f>'ESTIMATE FORM'!H19</f>
        <v>1</v>
      </c>
      <c r="F11" s="142">
        <f>'ESTIMATE FORM'!I19</f>
        <v>1</v>
      </c>
      <c r="G11" s="221">
        <f>IF('ESTIMATE FORM'!G19="Yes",(('ESTIMATE FORM'!C19)*2+('ESTIMATE FORM'!D19)*2),0)</f>
        <v>0</v>
      </c>
      <c r="H11" s="41" t="s">
        <v>17</v>
      </c>
      <c r="I11" s="141">
        <f>IF('ESTIMATE FORM'!F19="Yes",'ESTIMATE FORM'!C19*'ESTIMATE FORM'!D19,IF('ESTIMATE FORM'!F19="No",0,"Check input"))</f>
        <v>0</v>
      </c>
      <c r="J11" s="141">
        <f t="shared" si="3"/>
        <v>1</v>
      </c>
      <c r="K11" s="146">
        <f t="shared" si="4"/>
        <v>1</v>
      </c>
      <c r="L11" s="52">
        <f>Calculations!F11</f>
        <v>1020</v>
      </c>
      <c r="M11" s="69">
        <f>IFERROR((Calculations!D11*Calculations!$D$46)/VLOOKUP($C$21,'Paint Unified'!$C$2:$L$29,10,FALSE),0)</f>
        <v>37.200730494374994</v>
      </c>
      <c r="N11" s="70">
        <f>IFERROR((Calculations!E11*(VLOOKUP('Areas and paint'!C11,'Paint Unified'!$C$2:$L$29,9,FALSE)))/(VLOOKUP('Areas and paint'!C11,'Paint Unified'!$C$2:$L$29,10,FALSE)),0)</f>
        <v>86.978927542499989</v>
      </c>
      <c r="O11" s="66">
        <f>Calculations!J11</f>
        <v>0</v>
      </c>
      <c r="P11" s="56">
        <f>IFERROR((Calculations!H11*Calculations!$D$47)/VLOOKUP($C$22,'Paint Unified'!$C$2:$L$29,10,FALSE),0)</f>
        <v>0</v>
      </c>
      <c r="Q11" s="57">
        <f>IFERROR((Calculations!I11*(VLOOKUP('Areas and paint'!H11,'Paint Unified'!$C$2:$L$29,9,FALSE)))/(VLOOKUP('Areas and paint'!H11,'Paint Unified'!$C$2:$L$29,10,FALSE)),0)</f>
        <v>0</v>
      </c>
      <c r="R11" s="63">
        <f t="shared" si="0"/>
        <v>591.59999999999991</v>
      </c>
      <c r="S11" s="63">
        <f t="shared" si="1"/>
        <v>0</v>
      </c>
      <c r="T11" s="148"/>
      <c r="U11" s="105">
        <f t="shared" si="2"/>
        <v>0</v>
      </c>
      <c r="V11" s="78">
        <f t="shared" si="5"/>
        <v>124.17965803687498</v>
      </c>
      <c r="W11" s="79">
        <f t="shared" si="6"/>
        <v>591.59999999999991</v>
      </c>
      <c r="X11" s="80">
        <f t="shared" si="7"/>
        <v>715.77965803687493</v>
      </c>
    </row>
    <row r="12" spans="1:27" ht="16" x14ac:dyDescent="0.2">
      <c r="A12" s="10">
        <v>8</v>
      </c>
      <c r="B12" s="176" t="str">
        <f>'ESTIMATE FORM'!B20</f>
        <v>Mechanical room</v>
      </c>
      <c r="C12" s="28" t="s">
        <v>18</v>
      </c>
      <c r="D12" s="141">
        <f>('ESTIMATE FORM'!C20*'ESTIMATE FORM'!E20)*2+('ESTIMATE FORM'!D20*'ESTIMATE FORM'!E20)*2</f>
        <v>484</v>
      </c>
      <c r="E12" s="141">
        <f>'ESTIMATE FORM'!H20</f>
        <v>1</v>
      </c>
      <c r="F12" s="142">
        <f>'ESTIMATE FORM'!I20</f>
        <v>1</v>
      </c>
      <c r="G12" s="221">
        <f>IF('ESTIMATE FORM'!G20="Yes",(('ESTIMATE FORM'!C20)*2+('ESTIMATE FORM'!D20)*2),0)</f>
        <v>0</v>
      </c>
      <c r="H12" s="41" t="s">
        <v>17</v>
      </c>
      <c r="I12" s="141">
        <f>IF('ESTIMATE FORM'!F20="Yes",'ESTIMATE FORM'!C20*'ESTIMATE FORM'!D20,IF('ESTIMATE FORM'!F20="No",0,"Check input"))</f>
        <v>0</v>
      </c>
      <c r="J12" s="141">
        <f t="shared" si="3"/>
        <v>1</v>
      </c>
      <c r="K12" s="146">
        <f t="shared" si="4"/>
        <v>1</v>
      </c>
      <c r="L12" s="52">
        <f>Calculations!F12</f>
        <v>968</v>
      </c>
      <c r="M12" s="69">
        <f>IFERROR((Calculations!D12*Calculations!$D$46)/VLOOKUP($C$21,'Paint Unified'!$C$2:$L$29,10,FALSE),0)</f>
        <v>35.304222665250002</v>
      </c>
      <c r="N12" s="70">
        <f>IFERROR((Calculations!E12*(VLOOKUP('Areas and paint'!C12,'Paint Unified'!$C$2:$L$29,9,FALSE)))/(VLOOKUP('Areas and paint'!C12,'Paint Unified'!$C$2:$L$29,10,FALSE)),0)</f>
        <v>64.604637866999994</v>
      </c>
      <c r="O12" s="66">
        <f>Calculations!J12</f>
        <v>0</v>
      </c>
      <c r="P12" s="56">
        <f>IFERROR((Calculations!H12*Calculations!$D$47)/VLOOKUP($C$22,'Paint Unified'!$C$2:$L$29,10,FALSE),0)</f>
        <v>0</v>
      </c>
      <c r="Q12" s="57">
        <f>IFERROR((Calculations!I12*(VLOOKUP('Areas and paint'!H12,'Paint Unified'!$C$2:$L$29,9,FALSE)))/(VLOOKUP('Areas and paint'!H12,'Paint Unified'!$C$2:$L$29,10,FALSE)),0)</f>
        <v>0</v>
      </c>
      <c r="R12" s="63">
        <f t="shared" si="0"/>
        <v>561.43999999999994</v>
      </c>
      <c r="S12" s="63">
        <f t="shared" si="1"/>
        <v>0</v>
      </c>
      <c r="T12" s="148"/>
      <c r="U12" s="105">
        <f t="shared" si="2"/>
        <v>0</v>
      </c>
      <c r="V12" s="78">
        <f t="shared" si="5"/>
        <v>99.908860532250003</v>
      </c>
      <c r="W12" s="79">
        <f t="shared" si="6"/>
        <v>561.43999999999994</v>
      </c>
      <c r="X12" s="80">
        <f t="shared" si="7"/>
        <v>661.34886053225</v>
      </c>
    </row>
    <row r="13" spans="1:27" x14ac:dyDescent="0.2">
      <c r="A13" s="10">
        <v>9</v>
      </c>
      <c r="B13" s="19" t="str">
        <f>'ESTIMATE FORM'!B21</f>
        <v>Closet</v>
      </c>
      <c r="C13" s="28" t="s">
        <v>18</v>
      </c>
      <c r="D13" s="141">
        <f>('ESTIMATE FORM'!C21*'ESTIMATE FORM'!E21)*2+('ESTIMATE FORM'!D21*'ESTIMATE FORM'!E21)*2</f>
        <v>384</v>
      </c>
      <c r="E13" s="141">
        <f>'ESTIMATE FORM'!H21</f>
        <v>1</v>
      </c>
      <c r="F13" s="142">
        <f>'ESTIMATE FORM'!I21</f>
        <v>1</v>
      </c>
      <c r="G13" s="221">
        <f>IF('ESTIMATE FORM'!G21="Yes",(('ESTIMATE FORM'!C21)*2+('ESTIMATE FORM'!D21)*2),0)</f>
        <v>0</v>
      </c>
      <c r="H13" s="41" t="s">
        <v>17</v>
      </c>
      <c r="I13" s="141">
        <f>IF('ESTIMATE FORM'!F21="Yes",'ESTIMATE FORM'!C21*'ESTIMATE FORM'!D21,IF('ESTIMATE FORM'!F21="No",0,"Check input"))</f>
        <v>0</v>
      </c>
      <c r="J13" s="141">
        <f t="shared" si="3"/>
        <v>1</v>
      </c>
      <c r="K13" s="146">
        <f t="shared" si="4"/>
        <v>1</v>
      </c>
      <c r="L13" s="52">
        <f>Calculations!F13</f>
        <v>768</v>
      </c>
      <c r="M13" s="69">
        <f>IFERROR((Calculations!D13*Calculations!$D$46)/VLOOKUP($C$21,'Paint Unified'!$C$2:$L$29,10,FALSE),0)</f>
        <v>28.009961783999998</v>
      </c>
      <c r="N13" s="70">
        <f>IFERROR((Calculations!E13*(VLOOKUP('Areas and paint'!C13,'Paint Unified'!$C$2:$L$29,9,FALSE)))/(VLOOKUP('Areas and paint'!C13,'Paint Unified'!$C$2:$L$29,10,FALSE)),0)</f>
        <v>51.256572192</v>
      </c>
      <c r="O13" s="66">
        <f>Calculations!J13</f>
        <v>0</v>
      </c>
      <c r="P13" s="56">
        <f>IFERROR((Calculations!H13*Calculations!$D$47)/VLOOKUP($C$22,'Paint Unified'!$C$2:$L$29,10,FALSE),0)</f>
        <v>0</v>
      </c>
      <c r="Q13" s="57">
        <f>IFERROR((Calculations!I13*(VLOOKUP('Areas and paint'!H13,'Paint Unified'!$C$2:$L$29,9,FALSE)))/(VLOOKUP('Areas and paint'!H13,'Paint Unified'!$C$2:$L$29,10,FALSE)),0)</f>
        <v>0</v>
      </c>
      <c r="R13" s="63">
        <f t="shared" si="0"/>
        <v>445.43999999999994</v>
      </c>
      <c r="S13" s="63">
        <f t="shared" si="1"/>
        <v>0</v>
      </c>
      <c r="T13" s="148"/>
      <c r="U13" s="105">
        <f t="shared" si="2"/>
        <v>0</v>
      </c>
      <c r="V13" s="78">
        <f t="shared" si="5"/>
        <v>79.266533976000005</v>
      </c>
      <c r="W13" s="79">
        <f t="shared" si="6"/>
        <v>445.43999999999994</v>
      </c>
      <c r="X13" s="80">
        <f t="shared" si="7"/>
        <v>524.70653397599995</v>
      </c>
    </row>
    <row r="14" spans="1:27" ht="19" outlineLevel="1" x14ac:dyDescent="0.2">
      <c r="A14" s="10">
        <v>10</v>
      </c>
      <c r="B14" s="19">
        <f>'ESTIMATE FORM'!B22</f>
        <v>0</v>
      </c>
      <c r="C14" s="28"/>
      <c r="D14" s="141">
        <f>('ESTIMATE FORM'!C22*'ESTIMATE FORM'!E22)*2+('ESTIMATE FORM'!D22*'ESTIMATE FORM'!E22)*2</f>
        <v>0</v>
      </c>
      <c r="E14" s="141">
        <f>'ESTIMATE FORM'!H22</f>
        <v>0</v>
      </c>
      <c r="F14" s="142">
        <f>'ESTIMATE FORM'!I22</f>
        <v>0</v>
      </c>
      <c r="G14" s="221">
        <f>IF('ESTIMATE FORM'!G22="Yes",(('ESTIMATE FORM'!C22)*2+('ESTIMATE FORM'!D22)*2),0)</f>
        <v>0</v>
      </c>
      <c r="H14" s="41"/>
      <c r="I14" s="141">
        <f>IF('ESTIMATE FORM'!F22="Yes",'ESTIMATE FORM'!C22*'ESTIMATE FORM'!D22,IF('ESTIMATE FORM'!F22="No",0,"Check input"))</f>
        <v>0</v>
      </c>
      <c r="J14" s="141">
        <f t="shared" si="3"/>
        <v>0</v>
      </c>
      <c r="K14" s="146">
        <f t="shared" si="4"/>
        <v>0</v>
      </c>
      <c r="L14" s="52">
        <f>Calculations!F14</f>
        <v>0</v>
      </c>
      <c r="M14" s="69">
        <f>IFERROR((Calculations!D14*Calculations!$D$46)/VLOOKUP($C$21,'Paint Unified'!$C$2:$L$29,10,FALSE),0)</f>
        <v>0</v>
      </c>
      <c r="N14" s="70">
        <f>IFERROR((Calculations!E14*(VLOOKUP('Areas and paint'!C14,'Paint Unified'!$C$2:$L$29,9,FALSE)))/(VLOOKUP('Areas and paint'!C14,'Paint Unified'!$C$2:$L$29,10,FALSE)),0)</f>
        <v>0</v>
      </c>
      <c r="O14" s="66">
        <f>Calculations!J14</f>
        <v>0</v>
      </c>
      <c r="P14" s="56">
        <f>IFERROR((Calculations!H14*Calculations!$D$47)/VLOOKUP($C$22,'Paint Unified'!$C$2:$L$29,10,FALSE),0)</f>
        <v>0</v>
      </c>
      <c r="Q14" s="57">
        <f>IFERROR((Calculations!I14*(VLOOKUP('Areas and paint'!H14,'Paint Unified'!$C$2:$L$29,9,FALSE)))/(VLOOKUP('Areas and paint'!H14,'Paint Unified'!$C$2:$L$29,10,FALSE)),0)</f>
        <v>0</v>
      </c>
      <c r="R14" s="63">
        <f t="shared" si="0"/>
        <v>0</v>
      </c>
      <c r="S14" s="63">
        <f t="shared" si="1"/>
        <v>0</v>
      </c>
      <c r="T14" s="148"/>
      <c r="U14" s="105">
        <f t="shared" si="2"/>
        <v>0</v>
      </c>
      <c r="V14" s="78">
        <f t="shared" si="5"/>
        <v>0</v>
      </c>
      <c r="W14" s="79">
        <f t="shared" si="6"/>
        <v>0</v>
      </c>
      <c r="X14" s="80">
        <f t="shared" si="7"/>
        <v>0</v>
      </c>
    </row>
    <row r="15" spans="1:27" ht="20" outlineLevel="1" thickBot="1" x14ac:dyDescent="0.25">
      <c r="A15" s="183">
        <v>11</v>
      </c>
      <c r="B15" s="25">
        <f>'ESTIMATE FORM'!B23</f>
        <v>0</v>
      </c>
      <c r="C15" s="29"/>
      <c r="D15" s="144">
        <f>('ESTIMATE FORM'!C23*'ESTIMATE FORM'!E23)*2+('ESTIMATE FORM'!D23*'ESTIMATE FORM'!E23)*2</f>
        <v>0</v>
      </c>
      <c r="E15" s="144">
        <f>'ESTIMATE FORM'!H23</f>
        <v>0</v>
      </c>
      <c r="F15" s="145">
        <f>'ESTIMATE FORM'!I23</f>
        <v>0</v>
      </c>
      <c r="G15" s="221">
        <f>IF('ESTIMATE FORM'!G23="Yes",(('ESTIMATE FORM'!C23)*2+('ESTIMATE FORM'!D23)*2),0)</f>
        <v>0</v>
      </c>
      <c r="H15" s="42"/>
      <c r="I15" s="144">
        <f>IF('ESTIMATE FORM'!F23="Yes",'ESTIMATE FORM'!C23*'ESTIMATE FORM'!D23,IF('ESTIMATE FORM'!F23="No",0,"Check input"))</f>
        <v>0</v>
      </c>
      <c r="J15" s="144">
        <f t="shared" si="3"/>
        <v>0</v>
      </c>
      <c r="K15" s="147">
        <f t="shared" si="4"/>
        <v>0</v>
      </c>
      <c r="L15" s="90">
        <f>Calculations!F15</f>
        <v>0</v>
      </c>
      <c r="M15" s="71">
        <f>IFERROR((Calculations!D15*Calculations!$D$46)/VLOOKUP($C$21,'Paint Unified'!$C$2:$L$29,10,FALSE),0)</f>
        <v>0</v>
      </c>
      <c r="N15" s="72">
        <f>IFERROR((Calculations!E15*(VLOOKUP('Areas and paint'!C15,'Paint Unified'!$C$2:$L$29,9,FALSE)))/(VLOOKUP('Areas and paint'!C15,'Paint Unified'!$C$2:$L$29,10,FALSE)),0)</f>
        <v>0</v>
      </c>
      <c r="O15" s="67">
        <f>Calculations!J15</f>
        <v>0</v>
      </c>
      <c r="P15" s="56">
        <f>IFERROR((Calculations!H15*Calculations!$D$47)/VLOOKUP($C$22,'Paint Unified'!$C$2:$L$29,10,FALSE),0)</f>
        <v>0</v>
      </c>
      <c r="Q15" s="58">
        <f>IFERROR((Calculations!I15*(VLOOKUP('Areas and paint'!H15,'Paint Unified'!$C$2:$L$29,9,FALSE)))/(VLOOKUP('Areas and paint'!H15,'Paint Unified'!$C$2:$L$29,10,FALSE)),0)</f>
        <v>0</v>
      </c>
      <c r="R15" s="64">
        <f t="shared" si="0"/>
        <v>0</v>
      </c>
      <c r="S15" s="64">
        <f t="shared" si="1"/>
        <v>0</v>
      </c>
      <c r="T15" s="149"/>
      <c r="U15" s="106">
        <f t="shared" si="2"/>
        <v>0</v>
      </c>
      <c r="V15" s="81">
        <f t="shared" si="5"/>
        <v>0</v>
      </c>
      <c r="W15" s="82">
        <f t="shared" si="6"/>
        <v>0</v>
      </c>
      <c r="X15" s="83">
        <f t="shared" si="7"/>
        <v>0</v>
      </c>
    </row>
    <row r="16" spans="1:27" ht="19" outlineLevel="1" x14ac:dyDescent="0.2">
      <c r="A16" s="182">
        <v>12</v>
      </c>
      <c r="B16" s="19">
        <f>'ESTIMATE FORM'!B24</f>
        <v>0</v>
      </c>
      <c r="C16" s="28"/>
      <c r="D16" s="141">
        <f>('ESTIMATE FORM'!C24*'ESTIMATE FORM'!E24)*2+('ESTIMATE FORM'!D24*'ESTIMATE FORM'!E24)*2</f>
        <v>0</v>
      </c>
      <c r="E16" s="141">
        <f>'ESTIMATE FORM'!H24</f>
        <v>0</v>
      </c>
      <c r="F16" s="142">
        <f>'ESTIMATE FORM'!I24</f>
        <v>0</v>
      </c>
      <c r="G16" s="221">
        <f>IF('ESTIMATE FORM'!G24="Yes",(('ESTIMATE FORM'!C24)*2+('ESTIMATE FORM'!D24)*2),0)</f>
        <v>0</v>
      </c>
      <c r="H16" s="41"/>
      <c r="I16" s="141">
        <f>IF('ESTIMATE FORM'!F24="Yes",'ESTIMATE FORM'!C24*'ESTIMATE FORM'!D24,IF('ESTIMATE FORM'!F24="No",0,"Check input"))</f>
        <v>0</v>
      </c>
      <c r="J16" s="141">
        <f t="shared" si="3"/>
        <v>0</v>
      </c>
      <c r="K16" s="146">
        <f t="shared" si="4"/>
        <v>0</v>
      </c>
      <c r="L16" s="53">
        <f>Calculations!F16</f>
        <v>0</v>
      </c>
      <c r="M16" s="73">
        <f>IFERROR((Calculations!D16*Calculations!$D$46)/VLOOKUP($C$21,'Paint Unified'!$C$2:$L$29,10,FALSE),0)</f>
        <v>0</v>
      </c>
      <c r="N16" s="74">
        <f>IFERROR((Calculations!E16*(VLOOKUP('Areas and paint'!C16,'Paint Unified'!$C$2:$L$29,9,FALSE)))/(VLOOKUP('Areas and paint'!C16,'Paint Unified'!$C$2:$L$29,10,FALSE)),0)</f>
        <v>0</v>
      </c>
      <c r="O16" s="68">
        <f>Calculations!J16</f>
        <v>0</v>
      </c>
      <c r="P16" s="56">
        <f>IFERROR((Calculations!H16*Calculations!$D$47)/VLOOKUP($C$22,'Paint Unified'!$C$2:$L$29,10,FALSE),0)</f>
        <v>0</v>
      </c>
      <c r="Q16" s="59">
        <f>IFERROR((Calculations!I16*(VLOOKUP('Areas and paint'!H16,'Paint Unified'!$C$2:$L$29,9,FALSE)))/(VLOOKUP('Areas and paint'!H16,'Paint Unified'!$C$2:$L$29,10,FALSE)),0)</f>
        <v>0</v>
      </c>
      <c r="R16" s="65">
        <f t="shared" si="0"/>
        <v>0</v>
      </c>
      <c r="S16" s="65">
        <f t="shared" si="1"/>
        <v>0</v>
      </c>
      <c r="T16" s="150"/>
      <c r="U16" s="107">
        <f t="shared" si="2"/>
        <v>0</v>
      </c>
      <c r="V16" s="84">
        <f t="shared" si="5"/>
        <v>0</v>
      </c>
      <c r="W16" s="85">
        <f t="shared" si="6"/>
        <v>0</v>
      </c>
      <c r="X16" s="86">
        <f t="shared" si="7"/>
        <v>0</v>
      </c>
    </row>
    <row r="17" spans="1:24" ht="19" outlineLevel="1" x14ac:dyDescent="0.2">
      <c r="A17" s="10">
        <v>13</v>
      </c>
      <c r="B17" s="19">
        <f>'ESTIMATE FORM'!B25</f>
        <v>0</v>
      </c>
      <c r="C17" s="28"/>
      <c r="D17" s="141">
        <f>('ESTIMATE FORM'!C25*'ESTIMATE FORM'!E25)*2+('ESTIMATE FORM'!D25*'ESTIMATE FORM'!E25)*2</f>
        <v>0</v>
      </c>
      <c r="E17" s="141">
        <f>'ESTIMATE FORM'!H25</f>
        <v>0</v>
      </c>
      <c r="F17" s="142">
        <f>'ESTIMATE FORM'!I25</f>
        <v>0</v>
      </c>
      <c r="G17" s="221">
        <f>IF('ESTIMATE FORM'!G25="Yes",(('ESTIMATE FORM'!C25)*2+('ESTIMATE FORM'!D25)*2),0)</f>
        <v>0</v>
      </c>
      <c r="H17" s="41"/>
      <c r="I17" s="141">
        <f>IF('ESTIMATE FORM'!F25="Yes",'ESTIMATE FORM'!C25*'ESTIMATE FORM'!D25,IF('ESTIMATE FORM'!F25="No",0,"Check input"))</f>
        <v>0</v>
      </c>
      <c r="J17" s="141">
        <f t="shared" si="3"/>
        <v>0</v>
      </c>
      <c r="K17" s="146">
        <f t="shared" si="4"/>
        <v>0</v>
      </c>
      <c r="L17" s="52">
        <f>Calculations!F17</f>
        <v>0</v>
      </c>
      <c r="M17" s="69">
        <f>IFERROR((Calculations!D17*Calculations!$D$46)/VLOOKUP($C$21,'Paint Unified'!$C$2:$L$29,10,FALSE),0)</f>
        <v>0</v>
      </c>
      <c r="N17" s="70">
        <f>IFERROR((Calculations!E17*(VLOOKUP('Areas and paint'!C17,'Paint Unified'!$C$2:$L$29,9,FALSE)))/(VLOOKUP('Areas and paint'!C17,'Paint Unified'!$C$2:$L$29,10,FALSE)),0)</f>
        <v>0</v>
      </c>
      <c r="O17" s="66">
        <f>Calculations!J17</f>
        <v>0</v>
      </c>
      <c r="P17" s="56">
        <f>IFERROR((Calculations!H17*Calculations!$D$47)/VLOOKUP($C$22,'Paint Unified'!$C$2:$L$29,10,FALSE),0)</f>
        <v>0</v>
      </c>
      <c r="Q17" s="57">
        <f>IFERROR((Calculations!I17*(VLOOKUP('Areas and paint'!H17,'Paint Unified'!$C$2:$L$29,9,FALSE)))/(VLOOKUP('Areas and paint'!H17,'Paint Unified'!$C$2:$L$29,10,FALSE)),0)</f>
        <v>0</v>
      </c>
      <c r="R17" s="63">
        <f t="shared" si="0"/>
        <v>0</v>
      </c>
      <c r="S17" s="63">
        <f t="shared" si="1"/>
        <v>0</v>
      </c>
      <c r="T17" s="148"/>
      <c r="U17" s="105">
        <f t="shared" si="2"/>
        <v>0</v>
      </c>
      <c r="V17" s="78">
        <f t="shared" si="5"/>
        <v>0</v>
      </c>
      <c r="W17" s="79">
        <f t="shared" si="6"/>
        <v>0</v>
      </c>
      <c r="X17" s="80">
        <f t="shared" si="7"/>
        <v>0</v>
      </c>
    </row>
    <row r="18" spans="1:24" ht="19" outlineLevel="1" x14ac:dyDescent="0.2">
      <c r="A18" s="10">
        <v>14</v>
      </c>
      <c r="B18" s="19">
        <f>'ESTIMATE FORM'!B26</f>
        <v>0</v>
      </c>
      <c r="C18" s="28"/>
      <c r="D18" s="141">
        <f>('ESTIMATE FORM'!C26*'ESTIMATE FORM'!E26)*2+('ESTIMATE FORM'!D26*'ESTIMATE FORM'!E26)*2</f>
        <v>0</v>
      </c>
      <c r="E18" s="141">
        <f>'ESTIMATE FORM'!H26</f>
        <v>0</v>
      </c>
      <c r="F18" s="142">
        <f>'ESTIMATE FORM'!I26</f>
        <v>0</v>
      </c>
      <c r="G18" s="221">
        <f>IF('ESTIMATE FORM'!G26="Yes",(('ESTIMATE FORM'!C26)*2+('ESTIMATE FORM'!D26)*2),0)</f>
        <v>0</v>
      </c>
      <c r="H18" s="41"/>
      <c r="I18" s="141">
        <f>IF('ESTIMATE FORM'!F26="Yes",'ESTIMATE FORM'!C26*'ESTIMATE FORM'!D26,IF('ESTIMATE FORM'!F26="No",0,"Check input"))</f>
        <v>0</v>
      </c>
      <c r="J18" s="141">
        <f t="shared" si="3"/>
        <v>0</v>
      </c>
      <c r="K18" s="146">
        <f t="shared" si="4"/>
        <v>0</v>
      </c>
      <c r="L18" s="52">
        <f>Calculations!F18</f>
        <v>0</v>
      </c>
      <c r="M18" s="69">
        <f>IFERROR((Calculations!D18*Calculations!$D$46)/VLOOKUP($C$21,'Paint Unified'!$C$2:$L$29,10,FALSE),0)</f>
        <v>0</v>
      </c>
      <c r="N18" s="70">
        <f>IFERROR((Calculations!E18*(VLOOKUP('Areas and paint'!C18,'Paint Unified'!$C$2:$L$29,9,FALSE)))/(VLOOKUP('Areas and paint'!C18,'Paint Unified'!$C$2:$L$29,10,FALSE)),0)</f>
        <v>0</v>
      </c>
      <c r="O18" s="66">
        <f>Calculations!J18</f>
        <v>0</v>
      </c>
      <c r="P18" s="56">
        <f>IFERROR((Calculations!H18*Calculations!$D$47)/VLOOKUP($C$22,'Paint Unified'!$C$2:$L$29,10,FALSE),0)</f>
        <v>0</v>
      </c>
      <c r="Q18" s="57">
        <f>IFERROR((Calculations!I18*(VLOOKUP('Areas and paint'!H18,'Paint Unified'!$C$2:$L$29,9,FALSE)))/(VLOOKUP('Areas and paint'!H18,'Paint Unified'!$C$2:$L$29,10,FALSE)),0)</f>
        <v>0</v>
      </c>
      <c r="R18" s="63">
        <f t="shared" si="0"/>
        <v>0</v>
      </c>
      <c r="S18" s="63">
        <f t="shared" si="1"/>
        <v>0</v>
      </c>
      <c r="T18" s="148"/>
      <c r="U18" s="105">
        <f t="shared" si="2"/>
        <v>0</v>
      </c>
      <c r="V18" s="78">
        <f t="shared" si="5"/>
        <v>0</v>
      </c>
      <c r="W18" s="79">
        <f t="shared" si="6"/>
        <v>0</v>
      </c>
      <c r="X18" s="80">
        <f t="shared" si="7"/>
        <v>0</v>
      </c>
    </row>
    <row r="19" spans="1:24" ht="20" outlineLevel="1" thickBot="1" x14ac:dyDescent="0.25">
      <c r="A19" s="10">
        <v>15</v>
      </c>
      <c r="B19" s="243">
        <f>'ESTIMATE FORM'!B27</f>
        <v>0</v>
      </c>
      <c r="C19" s="36"/>
      <c r="D19" s="244">
        <f>('ESTIMATE FORM'!C27*'ESTIMATE FORM'!E27)*2+('ESTIMATE FORM'!D27*'ESTIMATE FORM'!E27)*2</f>
        <v>0</v>
      </c>
      <c r="E19" s="244">
        <f>'ESTIMATE FORM'!H27</f>
        <v>0</v>
      </c>
      <c r="F19" s="245">
        <f>'ESTIMATE FORM'!I27</f>
        <v>0</v>
      </c>
      <c r="G19" s="246">
        <f>IF('ESTIMATE FORM'!G27="Yes",(('ESTIMATE FORM'!C27)*2+('ESTIMATE FORM'!D27)*2),0)</f>
        <v>0</v>
      </c>
      <c r="H19" s="46"/>
      <c r="I19" s="244">
        <f>IF('ESTIMATE FORM'!F27="Yes",'ESTIMATE FORM'!C27*'ESTIMATE FORM'!D27,IF('ESTIMATE FORM'!F27="No",0,"Check input"))</f>
        <v>0</v>
      </c>
      <c r="J19" s="244">
        <f t="shared" si="3"/>
        <v>0</v>
      </c>
      <c r="K19" s="247">
        <f t="shared" si="4"/>
        <v>0</v>
      </c>
      <c r="L19" s="248">
        <f>Calculations!F19</f>
        <v>0</v>
      </c>
      <c r="M19" s="249">
        <f>IFERROR((Calculations!D19*Calculations!$D$46)/VLOOKUP($C$21,'Paint Unified'!$C$2:$L$29,10,FALSE),0)</f>
        <v>0</v>
      </c>
      <c r="N19" s="250">
        <f>IFERROR((Calculations!E19*(VLOOKUP('Areas and paint'!C19,'Paint Unified'!$C$2:$L$29,9,FALSE)))/(VLOOKUP('Areas and paint'!C19,'Paint Unified'!$C$2:$L$29,10,FALSE)),0)</f>
        <v>0</v>
      </c>
      <c r="O19" s="251">
        <f>Calculations!J19</f>
        <v>0</v>
      </c>
      <c r="P19" s="252">
        <f>IFERROR((Calculations!H19*Calculations!$D$47)/VLOOKUP($C$22,'Paint Unified'!$C$2:$L$29,10,FALSE),0)</f>
        <v>0</v>
      </c>
      <c r="Q19" s="253">
        <f>IFERROR((Calculations!I19*(VLOOKUP('Areas and paint'!H19,'Paint Unified'!$C$2:$L$29,9,FALSE)))/(VLOOKUP('Areas and paint'!H19,'Paint Unified'!$C$2:$L$29,10,FALSE)),0)</f>
        <v>0</v>
      </c>
      <c r="R19" s="254">
        <f t="shared" si="0"/>
        <v>0</v>
      </c>
      <c r="S19" s="254">
        <f t="shared" si="1"/>
        <v>0</v>
      </c>
      <c r="T19" s="255"/>
      <c r="U19" s="256">
        <f t="shared" si="2"/>
        <v>0</v>
      </c>
      <c r="V19" s="257">
        <f t="shared" si="5"/>
        <v>0</v>
      </c>
      <c r="W19" s="258">
        <f t="shared" si="6"/>
        <v>0</v>
      </c>
      <c r="X19" s="259">
        <f t="shared" si="7"/>
        <v>0</v>
      </c>
    </row>
    <row r="20" spans="1:24" x14ac:dyDescent="0.2">
      <c r="C20" s="2"/>
      <c r="D20" s="2"/>
      <c r="E20" s="2"/>
      <c r="F20" s="2"/>
      <c r="G20" s="222">
        <f>SUM(G5:G19)</f>
        <v>32</v>
      </c>
      <c r="H20" s="2"/>
      <c r="I20" s="2"/>
      <c r="J20" s="2"/>
      <c r="K20" s="11" t="s">
        <v>100</v>
      </c>
      <c r="L20" s="120">
        <f t="shared" ref="L20:X20" si="8">SUM(L5:L19)</f>
        <v>3792</v>
      </c>
      <c r="M20" s="102">
        <f t="shared" si="8"/>
        <v>138.2991863085</v>
      </c>
      <c r="N20" s="102">
        <f t="shared" si="8"/>
        <v>279.14111805300001</v>
      </c>
      <c r="O20" s="120">
        <f t="shared" si="8"/>
        <v>232</v>
      </c>
      <c r="P20" s="102">
        <f t="shared" si="8"/>
        <v>8.461342622250001</v>
      </c>
      <c r="Q20" s="102">
        <f t="shared" si="8"/>
        <v>11.402423990999997</v>
      </c>
      <c r="R20" s="102">
        <f t="shared" si="8"/>
        <v>2199.36</v>
      </c>
      <c r="S20" s="102">
        <f t="shared" si="8"/>
        <v>134.56</v>
      </c>
      <c r="T20" s="120">
        <f t="shared" si="8"/>
        <v>0</v>
      </c>
      <c r="U20" s="102">
        <f t="shared" si="8"/>
        <v>0</v>
      </c>
      <c r="V20" s="102">
        <f t="shared" si="8"/>
        <v>437.30407097474995</v>
      </c>
      <c r="W20" s="102">
        <f t="shared" si="8"/>
        <v>2333.92</v>
      </c>
      <c r="X20" s="102">
        <f t="shared" si="8"/>
        <v>2771.2240709747502</v>
      </c>
    </row>
    <row r="21" spans="1:24" ht="16" x14ac:dyDescent="0.2">
      <c r="B21" s="93" t="s">
        <v>85</v>
      </c>
      <c r="C21" s="108" t="s">
        <v>33</v>
      </c>
      <c r="D21" s="2"/>
      <c r="E21" s="2"/>
      <c r="F21" s="2"/>
      <c r="G21" s="2"/>
      <c r="H21" s="218"/>
      <c r="I21" s="2"/>
      <c r="J21" s="2"/>
      <c r="K21" s="2"/>
      <c r="L21" s="2"/>
      <c r="M21" s="48"/>
      <c r="N21" s="9"/>
      <c r="O21" s="2"/>
      <c r="P21" s="2"/>
      <c r="Q21" s="2"/>
      <c r="R21" s="87"/>
      <c r="S21" s="6"/>
      <c r="T21" s="6"/>
      <c r="U21" s="6"/>
      <c r="V21" s="6"/>
      <c r="W21" s="6"/>
      <c r="X21" s="5"/>
    </row>
    <row r="22" spans="1:24" ht="16" x14ac:dyDescent="0.2">
      <c r="B22" s="93" t="s">
        <v>87</v>
      </c>
      <c r="C22" s="108" t="s">
        <v>33</v>
      </c>
      <c r="D22" s="2"/>
      <c r="E22" s="2"/>
      <c r="F22" s="2"/>
      <c r="G22" s="2"/>
      <c r="H22" s="2"/>
      <c r="I22" s="7"/>
      <c r="J22" s="7"/>
      <c r="K22" s="2"/>
      <c r="L22" s="2"/>
      <c r="O22" s="2"/>
      <c r="P22" s="2"/>
      <c r="Q22" s="2"/>
      <c r="R22" s="4"/>
      <c r="S22" s="6"/>
      <c r="T22" s="6"/>
      <c r="U22" s="6"/>
      <c r="V22" s="6"/>
      <c r="W22" s="6"/>
    </row>
    <row r="23" spans="1:24" ht="17" customHeight="1" thickBot="1" x14ac:dyDescent="0.25">
      <c r="B23" s="93" t="s">
        <v>90</v>
      </c>
      <c r="C23" s="103">
        <f>IF('ESTIMATE FORM'!F5=List!B5,List!C5,IF('ESTIMATE FORM'!F5=List!B4,List!C4,IF('ESTIMATE FORM'!F5=List!B3,List!C3,"Check input")))</f>
        <v>0.57999999999999996</v>
      </c>
      <c r="D23" s="11"/>
      <c r="E23" s="11"/>
      <c r="F23" s="11"/>
      <c r="G23" s="11"/>
      <c r="H23" s="2"/>
      <c r="I23" s="8"/>
      <c r="J23" s="8"/>
      <c r="K23" s="2"/>
      <c r="L23" s="2"/>
      <c r="O23" s="2"/>
      <c r="P23" s="2"/>
      <c r="Q23" s="2"/>
      <c r="R23" s="2"/>
      <c r="S23" s="6"/>
      <c r="T23" s="6"/>
      <c r="U23" s="6"/>
      <c r="V23" s="6"/>
      <c r="W23" s="6"/>
    </row>
    <row r="24" spans="1:24" ht="17" thickBot="1" x14ac:dyDescent="0.25">
      <c r="B24" s="93" t="s">
        <v>96</v>
      </c>
      <c r="C24" s="103">
        <v>65</v>
      </c>
      <c r="D24" s="2"/>
      <c r="E24" s="2"/>
      <c r="F24" s="2"/>
      <c r="G24" s="2"/>
      <c r="H24" s="2"/>
      <c r="I24" s="2"/>
      <c r="J24" s="2"/>
      <c r="K24" s="2"/>
      <c r="O24" s="2"/>
      <c r="P24" s="18" t="s">
        <v>121</v>
      </c>
      <c r="Q24" s="157" t="s">
        <v>122</v>
      </c>
      <c r="R24" s="156" t="s">
        <v>123</v>
      </c>
      <c r="S24" s="313" t="s">
        <v>223</v>
      </c>
      <c r="T24" s="314"/>
      <c r="W24" s="6"/>
    </row>
    <row r="25" spans="1:24" ht="17" thickBot="1" x14ac:dyDescent="0.25">
      <c r="D25" s="2"/>
      <c r="E25" s="2"/>
      <c r="F25" s="2"/>
      <c r="G25" s="2"/>
      <c r="H25" s="11" t="s">
        <v>116</v>
      </c>
      <c r="I25" s="11" t="s">
        <v>111</v>
      </c>
      <c r="J25" s="11" t="s">
        <v>101</v>
      </c>
      <c r="K25" s="11" t="s">
        <v>117</v>
      </c>
      <c r="L25" s="11" t="s">
        <v>111</v>
      </c>
      <c r="M25" s="11" t="s">
        <v>101</v>
      </c>
      <c r="N25" s="9"/>
      <c r="O25" s="2"/>
      <c r="P25" s="23" t="s">
        <v>70</v>
      </c>
      <c r="Q25" s="158">
        <f>W20+T28</f>
        <v>2405.9448000000002</v>
      </c>
      <c r="R25" s="153">
        <f>Q25/$Q$27</f>
        <v>0.85278717986669805</v>
      </c>
      <c r="S25" s="262" t="s">
        <v>189</v>
      </c>
      <c r="T25" s="263">
        <f>'ESTIMATE FORM'!I35</f>
        <v>2.3048000000000002</v>
      </c>
      <c r="W25" s="6"/>
    </row>
    <row r="26" spans="1:24" ht="17" thickBot="1" x14ac:dyDescent="0.25">
      <c r="E26" s="2"/>
      <c r="F26" s="2"/>
      <c r="G26" s="2"/>
      <c r="H26" s="170" t="str">
        <f>IF('Pivot Finish wall'!A4=0," ",'Pivot Finish wall'!A4)</f>
        <v xml:space="preserve"> </v>
      </c>
      <c r="I26" s="171" t="str">
        <f>IF('Pivot Finish wall'!C4=0," ",'Pivot Finish wall'!C4)</f>
        <v xml:space="preserve"> </v>
      </c>
      <c r="J26" s="172" t="str">
        <f>IF('Pivot Finish wall'!D4=0," ",'Pivot Finish wall'!D4)</f>
        <v xml:space="preserve"> </v>
      </c>
      <c r="K26" s="173" t="str">
        <f>IF('Pivot Finish Ceiling'!A4=0," ",'Pivot Finish Ceiling'!A4)</f>
        <v xml:space="preserve"> </v>
      </c>
      <c r="L26" s="173" t="str">
        <f>IF('Pivot Finish Ceiling'!C4=0," ",'Pivot Finish Ceiling'!C4)</f>
        <v xml:space="preserve"> </v>
      </c>
      <c r="M26" s="174" t="str">
        <f>IF('Pivot Finish Ceiling'!D4=0," ",'Pivot Finish Ceiling'!D4)</f>
        <v xml:space="preserve"> </v>
      </c>
      <c r="N26" s="5"/>
      <c r="O26" s="2"/>
      <c r="P26" s="23" t="s">
        <v>78</v>
      </c>
      <c r="Q26" s="158">
        <f>J46+M46+J49+M49</f>
        <v>415.32744329999997</v>
      </c>
      <c r="R26" s="153">
        <f>Q26/$Q$27</f>
        <v>0.14721282013330186</v>
      </c>
      <c r="S26" s="264" t="s">
        <v>192</v>
      </c>
      <c r="T26" s="265">
        <f>'ESTIMATE FORM'!I36</f>
        <v>0</v>
      </c>
      <c r="W26" s="6"/>
    </row>
    <row r="27" spans="1:24" ht="19" x14ac:dyDescent="0.25">
      <c r="E27" s="2"/>
      <c r="F27" s="2"/>
      <c r="G27" s="2"/>
      <c r="H27" s="224" t="str">
        <f>IF('Pivot Finish wall'!A5=0," ",'Pivot Finish wall'!A5)</f>
        <v xml:space="preserve"> </v>
      </c>
      <c r="I27" s="225" t="str">
        <f>IF('Pivot Finish wall'!C5=0," ",'Pivot Finish wall'!C5)</f>
        <v xml:space="preserve"> </v>
      </c>
      <c r="J27" s="226" t="str">
        <f>IF('Pivot Finish wall'!D5=0," ",'Pivot Finish wall'!D5)</f>
        <v xml:space="preserve"> </v>
      </c>
      <c r="K27" s="227" t="str">
        <f>IF('Pivot Finish Ceiling'!A5=0," ",'Pivot Finish Ceiling'!A5)</f>
        <v>PM 400 0 FL EXTRA Zero Voc Ceiling</v>
      </c>
      <c r="L27" s="227" t="str">
        <f>IF('Pivot Finish Ceiling'!C5=0," ",'Pivot Finish Ceiling'!C5)</f>
        <v xml:space="preserve"> </v>
      </c>
      <c r="M27" s="228" t="str">
        <f>IF('Pivot Finish Ceiling'!D5=0," ",'Pivot Finish Ceiling'!D5)</f>
        <v xml:space="preserve"> </v>
      </c>
      <c r="P27" s="154" t="s">
        <v>71</v>
      </c>
      <c r="Q27" s="159">
        <f>Q25+Q26</f>
        <v>2821.2722433000004</v>
      </c>
      <c r="R27" s="155"/>
      <c r="S27" s="264" t="s">
        <v>206</v>
      </c>
      <c r="T27" s="265">
        <f>SUM('ESTIMATE FORM'!I31:I34)</f>
        <v>69.72</v>
      </c>
      <c r="W27" s="6"/>
    </row>
    <row r="28" spans="1:24" ht="18" customHeight="1" thickBot="1" x14ac:dyDescent="0.25">
      <c r="D28" s="2"/>
      <c r="E28" s="2"/>
      <c r="F28" s="2"/>
      <c r="G28" s="2"/>
      <c r="H28" s="229" t="str">
        <f>IF('Pivot Finish wall'!A6=0," ",'Pivot Finish wall'!A6)</f>
        <v>PM 200 0 FL EXTRA Pro Mar 200 Zero Voc Contractor grade</v>
      </c>
      <c r="I28" s="230">
        <f>IF('Pivot Finish wall'!C6=0," ",'Pivot Finish wall'!C6)</f>
        <v>6</v>
      </c>
      <c r="J28" s="231">
        <f>IF('Pivot Finish wall'!D6=0," ",'Pivot Finish wall'!D6)</f>
        <v>240.26518214999999</v>
      </c>
      <c r="K28" s="232" t="str">
        <f>IF('Pivot Finish Ceiling'!A6=0," ",'Pivot Finish Ceiling'!A6)</f>
        <v xml:space="preserve"> </v>
      </c>
      <c r="L28" s="232" t="str">
        <f>IF('Pivot Finish Ceiling'!C6=0," ",'Pivot Finish Ceiling'!C6)</f>
        <v xml:space="preserve"> </v>
      </c>
      <c r="M28" s="233" t="str">
        <f>IF('Pivot Finish Ceiling'!D6=0," ",'Pivot Finish Ceiling'!D6)</f>
        <v xml:space="preserve"> </v>
      </c>
      <c r="O28" s="2"/>
      <c r="P28" s="23" t="s">
        <v>119</v>
      </c>
      <c r="Q28" s="160">
        <v>0</v>
      </c>
      <c r="R28" s="155"/>
      <c r="S28" s="266" t="s">
        <v>222</v>
      </c>
      <c r="T28" s="267">
        <f>SUM(T25:T27)</f>
        <v>72.024799999999999</v>
      </c>
      <c r="V28" s="6"/>
      <c r="W28" s="6"/>
    </row>
    <row r="29" spans="1:24" ht="20" thickBot="1" x14ac:dyDescent="0.3">
      <c r="B29" s="11"/>
      <c r="D29" s="1"/>
      <c r="E29" s="206"/>
      <c r="F29" s="2"/>
      <c r="G29" s="2"/>
      <c r="H29" s="229" t="str">
        <f>IF('Pivot Finish wall'!A7=0," ",'Pivot Finish wall'!A7)</f>
        <v xml:space="preserve"> </v>
      </c>
      <c r="I29" s="230" t="str">
        <f>IF('Pivot Finish wall'!C7=0," ",'Pivot Finish wall'!C7)</f>
        <v xml:space="preserve"> </v>
      </c>
      <c r="J29" s="231" t="str">
        <f>IF('Pivot Finish wall'!D7=0," ",'Pivot Finish wall'!D7)</f>
        <v xml:space="preserve"> </v>
      </c>
      <c r="K29" s="232" t="str">
        <f>IF('Pivot Finish Ceiling'!A7=0," ",'Pivot Finish Ceiling'!A7)</f>
        <v xml:space="preserve"> </v>
      </c>
      <c r="L29" s="232" t="str">
        <f>IF('Pivot Finish Ceiling'!C7=0," ",'Pivot Finish Ceiling'!C7)</f>
        <v xml:space="preserve"> </v>
      </c>
      <c r="M29" s="233" t="str">
        <f>IF('Pivot Finish Ceiling'!D7=0," ",'Pivot Finish Ceiling'!D7)</f>
        <v xml:space="preserve"> </v>
      </c>
      <c r="O29" s="2"/>
      <c r="P29" s="161" t="s">
        <v>120</v>
      </c>
      <c r="Q29" s="162">
        <f>Q27*(1-Q28)</f>
        <v>2821.2722433000004</v>
      </c>
      <c r="R29" s="169">
        <f>Q27-Q29</f>
        <v>0</v>
      </c>
      <c r="S29" s="6"/>
      <c r="T29" s="6"/>
      <c r="U29" s="6"/>
      <c r="V29" s="6"/>
      <c r="W29" s="6"/>
    </row>
    <row r="30" spans="1:24" ht="16" thickBot="1" x14ac:dyDescent="0.25">
      <c r="D30" s="1"/>
      <c r="E30" s="206"/>
      <c r="F30" s="2"/>
      <c r="G30" s="2"/>
      <c r="H30" s="229" t="str">
        <f>IF('Pivot Finish wall'!A8=0," ",'Pivot Finish wall'!A8)</f>
        <v xml:space="preserve"> </v>
      </c>
      <c r="I30" s="230" t="str">
        <f>IF('Pivot Finish wall'!C8=0," ",'Pivot Finish wall'!C8)</f>
        <v xml:space="preserve"> </v>
      </c>
      <c r="J30" s="231" t="str">
        <f>IF('Pivot Finish wall'!D8=0," ",'Pivot Finish wall'!D8)</f>
        <v xml:space="preserve"> </v>
      </c>
      <c r="K30" s="232" t="str">
        <f>IF('Pivot Finish Ceiling'!A8=0," ",'Pivot Finish Ceiling'!A8)</f>
        <v xml:space="preserve"> </v>
      </c>
      <c r="L30" s="232" t="str">
        <f>IF('Pivot Finish Ceiling'!C8=0," ",'Pivot Finish Ceiling'!C8)</f>
        <v xml:space="preserve"> </v>
      </c>
      <c r="M30" s="234" t="str">
        <f>IF('Pivot Finish Ceiling'!D8=0," ",'Pivot Finish Ceiling'!D8)</f>
        <v xml:space="preserve"> </v>
      </c>
      <c r="N30" s="2"/>
      <c r="O30" s="2"/>
      <c r="P30" s="2"/>
      <c r="Q30" s="2"/>
      <c r="R30" s="6"/>
      <c r="S30" s="2"/>
      <c r="T30" s="2"/>
      <c r="U30" s="2"/>
      <c r="V30" s="2"/>
      <c r="W30" s="2"/>
    </row>
    <row r="31" spans="1:24" ht="20" thickBot="1" x14ac:dyDescent="0.3">
      <c r="D31" s="1"/>
      <c r="E31" s="206"/>
      <c r="F31" s="2"/>
      <c r="G31" s="2"/>
      <c r="H31" s="229" t="str">
        <f>IF('Pivot Finish wall'!A9=0," ",'Pivot Finish wall'!A9)</f>
        <v xml:space="preserve"> </v>
      </c>
      <c r="I31" s="230" t="str">
        <f>IF('Pivot Finish wall'!C9=0," ",'Pivot Finish wall'!C9)</f>
        <v xml:space="preserve"> </v>
      </c>
      <c r="J31" s="231" t="str">
        <f>IF('Pivot Finish wall'!D9=0," ",'Pivot Finish wall'!D9)</f>
        <v xml:space="preserve"> </v>
      </c>
      <c r="K31" s="232" t="str">
        <f>IF('Pivot Finish Ceiling'!A9=0," ",'Pivot Finish Ceiling'!A9)</f>
        <v xml:space="preserve"> </v>
      </c>
      <c r="L31" s="232" t="str">
        <f>IF('Pivot Finish Ceiling'!C9=0," ",'Pivot Finish Ceiling'!C9)</f>
        <v xml:space="preserve"> </v>
      </c>
      <c r="M31" s="233" t="str">
        <f>IF('Pivot Finish Ceiling'!D9=0," ",'Pivot Finish Ceiling'!D9)</f>
        <v xml:space="preserve"> </v>
      </c>
      <c r="P31" s="302" t="s">
        <v>124</v>
      </c>
      <c r="Q31" s="303"/>
      <c r="R31" s="304"/>
    </row>
    <row r="32" spans="1:24" x14ac:dyDescent="0.2">
      <c r="D32" s="206"/>
      <c r="E32" s="206"/>
      <c r="F32" s="2"/>
      <c r="G32" s="2"/>
      <c r="H32" s="229" t="str">
        <f>IF('Pivot Finish wall'!A10=0," ",'Pivot Finish wall'!A10)</f>
        <v xml:space="preserve"> </v>
      </c>
      <c r="I32" s="230" t="str">
        <f>IF('Pivot Finish wall'!C10=0," ",'Pivot Finish wall'!C10)</f>
        <v xml:space="preserve"> </v>
      </c>
      <c r="J32" s="231" t="str">
        <f>IF('Pivot Finish wall'!D10=0," ",'Pivot Finish wall'!D10)</f>
        <v xml:space="preserve"> </v>
      </c>
      <c r="K32" s="232" t="str">
        <f>IF('Pivot Finish Ceiling'!A10=0," ",'Pivot Finish Ceiling'!A10)</f>
        <v xml:space="preserve"> </v>
      </c>
      <c r="L32" s="232" t="str">
        <f>IF('Pivot Finish Ceiling'!C10=0," ",'Pivot Finish Ceiling'!C10)</f>
        <v xml:space="preserve"> </v>
      </c>
      <c r="M32" s="233" t="str">
        <f>IF('Pivot Finish Ceiling'!D10=0," ",'Pivot Finish Ceiling'!D10)</f>
        <v xml:space="preserve"> </v>
      </c>
      <c r="P32" s="163" t="s">
        <v>70</v>
      </c>
      <c r="Q32" s="164">
        <f>(((L20+O20)/1200)*30*8)+($T$20*30)</f>
        <v>804.80000000000007</v>
      </c>
      <c r="R32" s="165"/>
    </row>
    <row r="33" spans="4:21" x14ac:dyDescent="0.2">
      <c r="D33" s="2"/>
      <c r="E33" s="2"/>
      <c r="F33" s="2"/>
      <c r="G33" s="2"/>
      <c r="H33" s="229" t="str">
        <f>IF('Pivot Finish wall'!A11=0," ",'Pivot Finish wall'!A11)</f>
        <v xml:space="preserve"> </v>
      </c>
      <c r="I33" s="230" t="str">
        <f>IF('Pivot Finish wall'!C11=0," ",'Pivot Finish wall'!C11)</f>
        <v xml:space="preserve"> </v>
      </c>
      <c r="J33" s="231" t="str">
        <f>IF('Pivot Finish wall'!D11=0," ",'Pivot Finish wall'!D11)</f>
        <v xml:space="preserve"> </v>
      </c>
      <c r="K33" s="232" t="str">
        <f>IF('Pivot Finish Ceiling'!A11=0," ",'Pivot Finish Ceiling'!A11)</f>
        <v xml:space="preserve"> </v>
      </c>
      <c r="L33" s="232" t="str">
        <f>IF('Pivot Finish Ceiling'!C11=0," ",'Pivot Finish Ceiling'!C11)</f>
        <v xml:space="preserve"> </v>
      </c>
      <c r="M33" s="233" t="str">
        <f>IF('Pivot Finish Ceiling'!D11=0," ",'Pivot Finish Ceiling'!D11)</f>
        <v xml:space="preserve"> </v>
      </c>
      <c r="P33" s="163" t="s">
        <v>78</v>
      </c>
      <c r="Q33" s="9">
        <f>Q26</f>
        <v>415.32744329999997</v>
      </c>
      <c r="R33" s="165"/>
      <c r="U33" s="6"/>
    </row>
    <row r="34" spans="4:21" x14ac:dyDescent="0.2">
      <c r="H34" s="229" t="str">
        <f>IF('Pivot Finish wall'!A12=0," ",'Pivot Finish wall'!A12)</f>
        <v xml:space="preserve"> </v>
      </c>
      <c r="I34" s="230" t="str">
        <f>IF('Pivot Finish wall'!C12=0," ",'Pivot Finish wall'!C12)</f>
        <v xml:space="preserve"> </v>
      </c>
      <c r="J34" s="231" t="str">
        <f>IF('Pivot Finish wall'!D12=0," ",'Pivot Finish wall'!D12)</f>
        <v xml:space="preserve"> </v>
      </c>
      <c r="K34" s="232" t="str">
        <f>IF('Pivot Finish Ceiling'!A12=0," ",'Pivot Finish Ceiling'!A12)</f>
        <v xml:space="preserve"> </v>
      </c>
      <c r="L34" s="232" t="str">
        <f>IF('Pivot Finish Ceiling'!C12=0," ",'Pivot Finish Ceiling'!C12)</f>
        <v xml:space="preserve"> </v>
      </c>
      <c r="M34" s="233" t="str">
        <f>IF('Pivot Finish Ceiling'!D12=0," ",'Pivot Finish Ceiling'!D12)</f>
        <v xml:space="preserve"> </v>
      </c>
      <c r="P34" s="163" t="s">
        <v>56</v>
      </c>
      <c r="Q34" s="5">
        <f>Q29-Q32-Q33</f>
        <v>1601.1448000000003</v>
      </c>
      <c r="R34" s="165"/>
      <c r="U34" s="6"/>
    </row>
    <row r="35" spans="4:21" x14ac:dyDescent="0.2">
      <c r="H35" s="229" t="str">
        <f>IF('Pivot Finish wall'!A13=0," ",'Pivot Finish wall'!A13)</f>
        <v xml:space="preserve"> </v>
      </c>
      <c r="I35" s="230" t="str">
        <f>IF('Pivot Finish wall'!C13=0," ",'Pivot Finish wall'!C13)</f>
        <v xml:space="preserve"> </v>
      </c>
      <c r="J35" s="231" t="str">
        <f>IF('Pivot Finish wall'!D13=0," ",'Pivot Finish wall'!D13)</f>
        <v xml:space="preserve"> </v>
      </c>
      <c r="K35" s="232" t="str">
        <f>IF('Pivot Finish Ceiling'!A13=0," ",'Pivot Finish Ceiling'!A13)</f>
        <v xml:space="preserve"> </v>
      </c>
      <c r="L35" s="232" t="str">
        <f>IF('Pivot Finish Ceiling'!C13=0," ",'Pivot Finish Ceiling'!C13)</f>
        <v xml:space="preserve"> </v>
      </c>
      <c r="M35" s="233" t="str">
        <f>IF('Pivot Finish Ceiling'!D13=0," ",'Pivot Finish Ceiling'!D13)</f>
        <v xml:space="preserve"> </v>
      </c>
      <c r="P35" s="163" t="s">
        <v>57</v>
      </c>
      <c r="Q35" s="5">
        <v>50</v>
      </c>
      <c r="R35" s="165" t="s">
        <v>224</v>
      </c>
      <c r="U35" s="6"/>
    </row>
    <row r="36" spans="4:21" x14ac:dyDescent="0.2">
      <c r="H36" s="229" t="str">
        <f>IF('Pivot Finish wall'!A14=0," ",'Pivot Finish wall'!A14)</f>
        <v xml:space="preserve"> </v>
      </c>
      <c r="I36" s="230" t="str">
        <f>IF('Pivot Finish wall'!C14=0," ",'Pivot Finish wall'!C14)</f>
        <v xml:space="preserve"> </v>
      </c>
      <c r="J36" s="231" t="str">
        <f>IF('Pivot Finish wall'!D14=0," ",'Pivot Finish wall'!D14)</f>
        <v xml:space="preserve"> </v>
      </c>
      <c r="K36" s="232" t="str">
        <f>IF('Pivot Finish Ceiling'!A14=0," ",'Pivot Finish Ceiling'!A14)</f>
        <v xml:space="preserve"> </v>
      </c>
      <c r="L36" s="232" t="str">
        <f>IF('Pivot Finish Ceiling'!C14=0," ",'Pivot Finish Ceiling'!C14)</f>
        <v xml:space="preserve"> </v>
      </c>
      <c r="M36" s="233" t="str">
        <f>IF('Pivot Finish Ceiling'!D14=0," ",'Pivot Finish Ceiling'!D14)</f>
        <v xml:space="preserve"> </v>
      </c>
      <c r="P36" s="163" t="s">
        <v>125</v>
      </c>
      <c r="Q36" s="5">
        <v>50</v>
      </c>
      <c r="R36" s="178">
        <f>Q35+Q36</f>
        <v>100</v>
      </c>
      <c r="U36" s="6"/>
    </row>
    <row r="37" spans="4:21" x14ac:dyDescent="0.2">
      <c r="H37" s="229" t="str">
        <f>IF('Pivot Finish wall'!A15=0," ",'Pivot Finish wall'!A15)</f>
        <v xml:space="preserve"> </v>
      </c>
      <c r="I37" s="230" t="str">
        <f>IF('Pivot Finish wall'!C15=0," ",'Pivot Finish wall'!C15)</f>
        <v xml:space="preserve"> </v>
      </c>
      <c r="J37" s="231" t="str">
        <f>IF('Pivot Finish wall'!D15=0," ",'Pivot Finish wall'!D15)</f>
        <v xml:space="preserve"> </v>
      </c>
      <c r="K37" s="232" t="str">
        <f>IF('Pivot Finish Ceiling'!A15=0," ",'Pivot Finish Ceiling'!A15)</f>
        <v xml:space="preserve"> </v>
      </c>
      <c r="L37" s="232" t="str">
        <f>IF('Pivot Finish Ceiling'!C15=0," ",'Pivot Finish Ceiling'!C15)</f>
        <v xml:space="preserve"> </v>
      </c>
      <c r="M37" s="233" t="str">
        <f>IF('Pivot Finish Ceiling'!D15=0," ",'Pivot Finish Ceiling'!D15)</f>
        <v xml:space="preserve"> </v>
      </c>
      <c r="P37" s="163" t="s">
        <v>126</v>
      </c>
      <c r="Q37" s="5">
        <f>Q34-Q35-Q36</f>
        <v>1501.1448000000003</v>
      </c>
      <c r="R37" s="165"/>
    </row>
    <row r="38" spans="4:21" ht="20" thickBot="1" x14ac:dyDescent="0.3">
      <c r="H38" s="229" t="str">
        <f>IF('Pivot Finish wall'!A16=0," ",'Pivot Finish wall'!A16)</f>
        <v xml:space="preserve"> </v>
      </c>
      <c r="I38" s="230" t="str">
        <f>IF('Pivot Finish wall'!C16=0," ",'Pivot Finish wall'!C16)</f>
        <v xml:space="preserve"> </v>
      </c>
      <c r="J38" s="231" t="str">
        <f>IF('Pivot Finish wall'!D16=0," ",'Pivot Finish wall'!D16)</f>
        <v xml:space="preserve"> </v>
      </c>
      <c r="K38" s="232" t="str">
        <f>IF('Pivot Finish Ceiling'!A16=0," ",'Pivot Finish Ceiling'!A16)</f>
        <v xml:space="preserve"> </v>
      </c>
      <c r="L38" s="232" t="str">
        <f>IF('Pivot Finish Ceiling'!C16=0," ",'Pivot Finish Ceiling'!C16)</f>
        <v xml:space="preserve"> </v>
      </c>
      <c r="M38" s="233" t="str">
        <f>IF('Pivot Finish Ceiling'!D16=0," ",'Pivot Finish Ceiling'!D16)</f>
        <v xml:space="preserve"> </v>
      </c>
      <c r="P38" s="166" t="s">
        <v>127</v>
      </c>
      <c r="Q38" s="167">
        <f>Q37/Q29</f>
        <v>0.53208080275306346</v>
      </c>
      <c r="R38" s="168"/>
    </row>
    <row r="39" spans="4:21" x14ac:dyDescent="0.2">
      <c r="H39" s="229" t="str">
        <f>IF('Pivot Finish wall'!A17=0," ",'Pivot Finish wall'!A17)</f>
        <v xml:space="preserve"> </v>
      </c>
      <c r="I39" s="230" t="str">
        <f>IF('Pivot Finish wall'!C17=0," ",'Pivot Finish wall'!C17)</f>
        <v xml:space="preserve"> </v>
      </c>
      <c r="J39" s="231" t="str">
        <f>IF('Pivot Finish wall'!D17=0," ",'Pivot Finish wall'!D17)</f>
        <v xml:space="preserve"> </v>
      </c>
      <c r="K39" s="232" t="str">
        <f>IF('Pivot Finish Ceiling'!A17=0," ",'Pivot Finish Ceiling'!A17)</f>
        <v xml:space="preserve"> </v>
      </c>
      <c r="L39" s="232" t="str">
        <f>IF('Pivot Finish Ceiling'!C17=0," ",'Pivot Finish Ceiling'!C17)</f>
        <v xml:space="preserve"> </v>
      </c>
      <c r="M39" s="233" t="str">
        <f>IF('Pivot Finish Ceiling'!D17=0," ",'Pivot Finish Ceiling'!D17)</f>
        <v xml:space="preserve"> </v>
      </c>
    </row>
    <row r="40" spans="4:21" x14ac:dyDescent="0.2">
      <c r="H40" s="229" t="str">
        <f>IF('Pivot Finish wall'!A18=0," ",'Pivot Finish wall'!A18)</f>
        <v xml:space="preserve"> </v>
      </c>
      <c r="I40" s="230" t="str">
        <f>IF('Pivot Finish wall'!C18=0," ",'Pivot Finish wall'!C18)</f>
        <v xml:space="preserve"> </v>
      </c>
      <c r="J40" s="231" t="str">
        <f>IF('Pivot Finish wall'!D18=0," ",'Pivot Finish wall'!D18)</f>
        <v xml:space="preserve"> </v>
      </c>
      <c r="K40" s="232" t="str">
        <f>IF('Pivot Finish Ceiling'!A18=0," ",'Pivot Finish Ceiling'!A18)</f>
        <v xml:space="preserve"> </v>
      </c>
      <c r="L40" s="232" t="str">
        <f>IF('Pivot Finish Ceiling'!C18=0," ",'Pivot Finish Ceiling'!C18)</f>
        <v xml:space="preserve"> </v>
      </c>
      <c r="M40" s="233" t="str">
        <f>IF('Pivot Finish Ceiling'!D18=0," ",'Pivot Finish Ceiling'!D18)</f>
        <v xml:space="preserve"> </v>
      </c>
    </row>
    <row r="41" spans="4:21" x14ac:dyDescent="0.2">
      <c r="H41" s="229" t="str">
        <f>IF('Pivot Finish wall'!A19=0," ",'Pivot Finish wall'!A19)</f>
        <v xml:space="preserve"> </v>
      </c>
      <c r="I41" s="230" t="str">
        <f>IF('Pivot Finish wall'!C19=0," ",'Pivot Finish wall'!C19)</f>
        <v xml:space="preserve"> </v>
      </c>
      <c r="J41" s="231" t="str">
        <f>IF('Pivot Finish wall'!D19=0," ",'Pivot Finish wall'!D19)</f>
        <v xml:space="preserve"> </v>
      </c>
      <c r="K41" s="232" t="str">
        <f>IF('Pivot Finish Ceiling'!A19=0," ",'Pivot Finish Ceiling'!A19)</f>
        <v xml:space="preserve"> </v>
      </c>
      <c r="L41" s="232" t="str">
        <f>IF('Pivot Finish Ceiling'!C19=0," ",'Pivot Finish Ceiling'!C19)</f>
        <v xml:space="preserve"> </v>
      </c>
      <c r="M41" s="233" t="str">
        <f>IF('Pivot Finish Ceiling'!D19=0," ",'Pivot Finish Ceiling'!D19)</f>
        <v xml:space="preserve"> </v>
      </c>
      <c r="P41" t="s">
        <v>184</v>
      </c>
      <c r="Q41" s="5">
        <f>'ESTIMATE FORM'!J29+T28</f>
        <v>3103.4381333333331</v>
      </c>
    </row>
    <row r="42" spans="4:21" x14ac:dyDescent="0.2">
      <c r="H42" s="229" t="str">
        <f>IF('Pivot Finish wall'!A20=0," ",'Pivot Finish wall'!A20)</f>
        <v xml:space="preserve"> </v>
      </c>
      <c r="I42" s="230" t="str">
        <f>IF('Pivot Finish wall'!C20=0," ",'Pivot Finish wall'!C20)</f>
        <v xml:space="preserve"> </v>
      </c>
      <c r="J42" s="231" t="str">
        <f>IF('Pivot Finish wall'!D20=0," ",'Pivot Finish wall'!D20)</f>
        <v xml:space="preserve"> </v>
      </c>
      <c r="K42" s="232" t="str">
        <f>IF('Pivot Finish Ceiling'!A20=0," ",'Pivot Finish Ceiling'!A20)</f>
        <v xml:space="preserve"> </v>
      </c>
      <c r="L42" s="232" t="str">
        <f>IF('Pivot Finish Ceiling'!C20=0," ",'Pivot Finish Ceiling'!C20)</f>
        <v xml:space="preserve"> </v>
      </c>
      <c r="M42" s="233" t="str">
        <f>IF('Pivot Finish Ceiling'!D20=0," ",'Pivot Finish Ceiling'!D20)</f>
        <v xml:space="preserve"> </v>
      </c>
      <c r="P42" t="s">
        <v>185</v>
      </c>
      <c r="Q42" s="5">
        <f>Q29</f>
        <v>2821.2722433000004</v>
      </c>
    </row>
    <row r="43" spans="4:21" x14ac:dyDescent="0.2">
      <c r="H43" s="229" t="str">
        <f>IF('Pivot Finish wall'!A21=0," ",'Pivot Finish wall'!A21)</f>
        <v xml:space="preserve"> </v>
      </c>
      <c r="I43" s="230" t="str">
        <f>IF('Pivot Finish wall'!C21=0," ",'Pivot Finish wall'!C21)</f>
        <v xml:space="preserve"> </v>
      </c>
      <c r="J43" s="231" t="str">
        <f>IF('Pivot Finish wall'!D21=0," ",'Pivot Finish wall'!D21)</f>
        <v xml:space="preserve"> </v>
      </c>
      <c r="K43" s="232" t="str">
        <f>IF('Pivot Finish Ceiling'!A21=0," ",'Pivot Finish Ceiling'!A21)</f>
        <v xml:space="preserve"> </v>
      </c>
      <c r="L43" s="232" t="str">
        <f>IF('Pivot Finish Ceiling'!C21=0," ",'Pivot Finish Ceiling'!C21)</f>
        <v xml:space="preserve"> </v>
      </c>
      <c r="M43" s="233" t="str">
        <f>IF('Pivot Finish Ceiling'!D21=0," ",'Pivot Finish Ceiling'!D21)</f>
        <v xml:space="preserve"> </v>
      </c>
      <c r="P43" t="s">
        <v>186</v>
      </c>
      <c r="Q43" s="205">
        <f>1-(Q42/Q41)</f>
        <v>9.0920417263244957E-2</v>
      </c>
    </row>
    <row r="44" spans="4:21" x14ac:dyDescent="0.2">
      <c r="H44" s="229" t="str">
        <f>IF('Pivot Finish wall'!A22=0," ",'Pivot Finish wall'!A22)</f>
        <v xml:space="preserve"> </v>
      </c>
      <c r="I44" s="230" t="str">
        <f>IF('Pivot Finish wall'!C22=0," ",'Pivot Finish wall'!C22)</f>
        <v xml:space="preserve"> </v>
      </c>
      <c r="J44" s="231" t="str">
        <f>IF('Pivot Finish wall'!D22=0," ",'Pivot Finish wall'!D22)</f>
        <v xml:space="preserve"> </v>
      </c>
      <c r="K44" s="232" t="str">
        <f>IF('Pivot Finish Ceiling'!A22=0," ",'Pivot Finish Ceiling'!A22)</f>
        <v xml:space="preserve"> </v>
      </c>
      <c r="L44" s="232" t="str">
        <f>IF('Pivot Finish Ceiling'!C22=0," ",'Pivot Finish Ceiling'!C22)</f>
        <v xml:space="preserve"> </v>
      </c>
      <c r="M44" s="233" t="str">
        <f>IF('Pivot Finish Ceiling'!D22=0," ",'Pivot Finish Ceiling'!D22)</f>
        <v xml:space="preserve"> </v>
      </c>
    </row>
    <row r="45" spans="4:21" ht="16" thickBot="1" x14ac:dyDescent="0.25">
      <c r="H45" s="235" t="str">
        <f>IF('Pivot Finish wall'!A23=0," ",'Pivot Finish wall'!A23)</f>
        <v xml:space="preserve"> </v>
      </c>
      <c r="I45" s="236" t="str">
        <f>IF('Pivot Finish wall'!C23=0," ",'Pivot Finish wall'!C23)</f>
        <v xml:space="preserve"> </v>
      </c>
      <c r="J45" s="237" t="str">
        <f>IF('Pivot Finish wall'!D23=0," ",'Pivot Finish wall'!D23)</f>
        <v xml:space="preserve"> </v>
      </c>
      <c r="K45" s="238" t="str">
        <f>IF('Pivot Finish Ceiling'!A23=0," ",'Pivot Finish Ceiling'!A23)</f>
        <v xml:space="preserve"> </v>
      </c>
      <c r="L45" s="238" t="str">
        <f>IF('Pivot Finish Ceiling'!C23=0," ",'Pivot Finish Ceiling'!C23)</f>
        <v xml:space="preserve"> </v>
      </c>
      <c r="M45" s="239" t="str">
        <f>IF('Pivot Finish Ceiling'!D23=0," ",'Pivot Finish Ceiling'!D23)</f>
        <v xml:space="preserve"> </v>
      </c>
    </row>
    <row r="46" spans="4:21" ht="19" x14ac:dyDescent="0.25">
      <c r="I46" s="139" t="s">
        <v>118</v>
      </c>
      <c r="J46" s="140">
        <f>SUM(J27:J45)</f>
        <v>240.26518214999999</v>
      </c>
      <c r="L46" s="139" t="s">
        <v>118</v>
      </c>
      <c r="M46" s="140">
        <f>SUM(M27:M45)</f>
        <v>0</v>
      </c>
    </row>
    <row r="48" spans="4:21" ht="19" x14ac:dyDescent="0.25">
      <c r="H48" s="101" t="s">
        <v>128</v>
      </c>
      <c r="I48" s="101"/>
      <c r="J48" s="101"/>
      <c r="K48" s="101" t="s">
        <v>129</v>
      </c>
    </row>
    <row r="49" spans="8:13" ht="19" x14ac:dyDescent="0.25">
      <c r="H49" s="175" t="str">
        <f>C21</f>
        <v xml:space="preserve">Step One Primer - White </v>
      </c>
      <c r="I49" s="151">
        <f>Calculations!E46</f>
        <v>5</v>
      </c>
      <c r="J49" s="152">
        <f>Calculations!F46</f>
        <v>145.885217625</v>
      </c>
      <c r="K49" s="175" t="str">
        <f>C22</f>
        <v xml:space="preserve">Step One Primer - White </v>
      </c>
      <c r="L49" s="151">
        <f>Calculations!E47</f>
        <v>1</v>
      </c>
      <c r="M49" s="152">
        <f>Calculations!F47</f>
        <v>29.177043524999998</v>
      </c>
    </row>
  </sheetData>
  <mergeCells count="13">
    <mergeCell ref="Z2:AA2"/>
    <mergeCell ref="H3:K3"/>
    <mergeCell ref="C3:F3"/>
    <mergeCell ref="C2:K2"/>
    <mergeCell ref="C1:X1"/>
    <mergeCell ref="L2:Q2"/>
    <mergeCell ref="R2:X2"/>
    <mergeCell ref="P31:R31"/>
    <mergeCell ref="L3:N3"/>
    <mergeCell ref="O3:Q3"/>
    <mergeCell ref="R3:U3"/>
    <mergeCell ref="V3:X3"/>
    <mergeCell ref="S24:T24"/>
  </mergeCells>
  <phoneticPr fontId="6" type="noConversion"/>
  <conditionalFormatting sqref="Q38">
    <cfRule type="expression" dxfId="1" priority="1">
      <formula>$Q$38&lt;=34.9%</formula>
    </cfRule>
    <cfRule type="expression" dxfId="0" priority="2">
      <formula>$Q$38&gt;35%</formula>
    </cfRule>
  </conditionalFormatting>
  <pageMargins left="0.7" right="0.7" top="0.75" bottom="0.75" header="0.3" footer="0.3"/>
  <pageSetup orientation="portrait" horizontalDpi="300" verticalDpi="36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Please select a valid paint" error="Please select a valid paint" xr:uid="{D61D0AA5-0A10-47A5-86EE-CFAD58502438}">
          <x14:formula1>
            <xm:f>'Paint Unified'!$C$5:$C$24</xm:f>
          </x14:formula1>
          <xm:sqref>C5:C19</xm:sqref>
        </x14:dataValidation>
        <x14:dataValidation type="list" allowBlank="1" showInputMessage="1" showErrorMessage="1" xr:uid="{B19ACE7D-C186-41CC-AF5F-7D1D321A5A56}">
          <x14:formula1>
            <xm:f>'Paint Unified'!$C$2:$C$4</xm:f>
          </x14:formula1>
          <xm:sqref>H5:H8</xm:sqref>
        </x14:dataValidation>
        <x14:dataValidation type="list" allowBlank="1" showInputMessage="1" showErrorMessage="1" errorTitle="Please select a ceiling paint" error="Please select a ceiling paint" xr:uid="{377114A7-0B4E-4BB7-8E9D-EF8BC268EA8F}">
          <x14:formula1>
            <xm:f>'Paint Unified'!$C$2:$C$4</xm:f>
          </x14:formula1>
          <xm:sqref>H9:H19</xm:sqref>
        </x14:dataValidation>
        <x14:dataValidation type="list" allowBlank="1" showInputMessage="1" showErrorMessage="1" errorTitle="Please select a proper primer" error="Please select a proper primer" xr:uid="{4C445C8C-D644-4C87-92E7-240C72D5D012}">
          <x14:formula1>
            <xm:f>'Paint Unified'!$C$25:$C$29</xm:f>
          </x14:formula1>
          <xm:sqref>C21:C22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59910-2CAE-430C-9F2E-9D1C728F3ED5}">
  <sheetPr codeName="Sheet1"/>
  <dimension ref="B1:P72"/>
  <sheetViews>
    <sheetView topLeftCell="F1" zoomScale="85" zoomScaleNormal="85" workbookViewId="0">
      <selection activeCell="H11" sqref="H11"/>
    </sheetView>
  </sheetViews>
  <sheetFormatPr baseColWidth="10" defaultColWidth="8.83203125" defaultRowHeight="15" x14ac:dyDescent="0.2"/>
  <cols>
    <col min="1" max="1" width="4.5" customWidth="1"/>
    <col min="2" max="2" width="40.1640625" bestFit="1" customWidth="1"/>
    <col min="3" max="3" width="26.33203125" bestFit="1" customWidth="1"/>
    <col min="4" max="4" width="25.6640625" bestFit="1" customWidth="1"/>
    <col min="5" max="6" width="32.6640625" bestFit="1" customWidth="1"/>
    <col min="7" max="7" width="33.1640625" bestFit="1" customWidth="1"/>
    <col min="8" max="8" width="32.1640625" bestFit="1" customWidth="1"/>
    <col min="9" max="9" width="25.6640625" bestFit="1" customWidth="1"/>
    <col min="10" max="10" width="12.1640625" bestFit="1" customWidth="1"/>
    <col min="11" max="11" width="34.5" customWidth="1"/>
    <col min="12" max="12" width="20.5" bestFit="1" customWidth="1"/>
    <col min="13" max="13" width="19.6640625" bestFit="1" customWidth="1"/>
    <col min="14" max="14" width="30.6640625" bestFit="1" customWidth="1"/>
    <col min="15" max="15" width="19.6640625" bestFit="1" customWidth="1"/>
    <col min="16" max="16" width="19" bestFit="1" customWidth="1"/>
  </cols>
  <sheetData>
    <row r="1" spans="2:16" ht="16" thickBot="1" x14ac:dyDescent="0.25"/>
    <row r="2" spans="2:16" ht="20" thickBot="1" x14ac:dyDescent="0.3">
      <c r="B2" s="16"/>
      <c r="C2" s="322"/>
      <c r="D2" s="323"/>
      <c r="E2" s="323"/>
      <c r="F2" s="323"/>
      <c r="G2" s="323"/>
      <c r="H2" s="323"/>
      <c r="I2" s="323"/>
      <c r="J2" s="324"/>
      <c r="K2" s="15"/>
      <c r="L2" s="17"/>
      <c r="M2" s="17"/>
      <c r="N2" s="17"/>
      <c r="O2" s="17"/>
      <c r="P2" s="17"/>
    </row>
    <row r="3" spans="2:16" ht="20" thickBot="1" x14ac:dyDescent="0.3">
      <c r="B3" s="16"/>
      <c r="C3" s="319" t="s">
        <v>66</v>
      </c>
      <c r="D3" s="320"/>
      <c r="E3" s="320"/>
      <c r="F3" s="321"/>
      <c r="G3" s="316" t="s">
        <v>65</v>
      </c>
      <c r="H3" s="317"/>
      <c r="I3" s="317"/>
      <c r="J3" s="318"/>
      <c r="K3" s="305" t="s">
        <v>66</v>
      </c>
      <c r="L3" s="306"/>
      <c r="M3" s="306"/>
      <c r="N3" s="302" t="s">
        <v>65</v>
      </c>
      <c r="O3" s="303"/>
      <c r="P3" s="304"/>
    </row>
    <row r="4" spans="2:16" ht="16" thickBot="1" x14ac:dyDescent="0.25">
      <c r="B4" s="18" t="s">
        <v>62</v>
      </c>
      <c r="C4" s="26" t="s">
        <v>103</v>
      </c>
      <c r="D4" s="14" t="s">
        <v>76</v>
      </c>
      <c r="E4" s="14" t="s">
        <v>77</v>
      </c>
      <c r="F4" s="27" t="s">
        <v>0</v>
      </c>
      <c r="G4" s="39" t="s">
        <v>67</v>
      </c>
      <c r="H4" s="13" t="s">
        <v>76</v>
      </c>
      <c r="I4" s="13" t="s">
        <v>77</v>
      </c>
      <c r="J4" s="40" t="s">
        <v>0</v>
      </c>
      <c r="K4" s="50" t="str">
        <f>C4</f>
        <v>W Finish Type</v>
      </c>
      <c r="L4" s="49" t="s">
        <v>104</v>
      </c>
      <c r="M4" s="50" t="s">
        <v>105</v>
      </c>
      <c r="N4" s="131" t="s">
        <v>109</v>
      </c>
      <c r="O4" s="126" t="s">
        <v>106</v>
      </c>
      <c r="P4" s="55" t="s">
        <v>107</v>
      </c>
    </row>
    <row r="5" spans="2:16" x14ac:dyDescent="0.2">
      <c r="B5" s="19" t="str">
        <f>IFERROR('Areas and paint'!B5," ")</f>
        <v>TV room</v>
      </c>
      <c r="C5" s="28" t="str">
        <f>IFERROR('Areas and paint'!C5," ")</f>
        <v>PM200 HP 0 EG EW  Pro Mar 200 HP</v>
      </c>
      <c r="D5" s="30">
        <f>'Areas and paint'!D5*'Areas and paint'!E5</f>
        <v>32</v>
      </c>
      <c r="E5" s="30">
        <f>'Areas and paint'!D5*'Areas and paint'!F5</f>
        <v>32</v>
      </c>
      <c r="F5" s="31">
        <f>D5+E5</f>
        <v>64</v>
      </c>
      <c r="G5" s="41" t="str">
        <f>IFERROR('Areas and paint'!H5,0)</f>
        <v>Waterborne Ceiling Paint White</v>
      </c>
      <c r="H5" s="45">
        <f>'Areas and paint'!I5*'Areas and paint'!J5</f>
        <v>4</v>
      </c>
      <c r="I5" s="45">
        <f>'Areas and paint'!I5*'Areas and paint'!K5</f>
        <v>4</v>
      </c>
      <c r="J5" s="94">
        <f>H5+I5</f>
        <v>8</v>
      </c>
      <c r="K5" s="110" t="str">
        <f>C5</f>
        <v>PM200 HP 0 EG EW  Pro Mar 200 HP</v>
      </c>
      <c r="L5" s="109">
        <f>IFERROR(D5/VLOOKUP($C$46,'Paint Unified'!$C$2:$L$29,10,FALSE),0)</f>
        <v>0.08</v>
      </c>
      <c r="M5" s="110">
        <f>IFERROR(E5/VLOOKUP(C5,'Paint Unified'!$C$2:$L$29,10,FALSE),0)</f>
        <v>0.10666666666666667</v>
      </c>
      <c r="N5" s="132" t="str">
        <f>G5</f>
        <v>Waterborne Ceiling Paint White</v>
      </c>
      <c r="O5" s="127">
        <f>IFERROR(H5/VLOOKUP($C$47,'Paint Unified'!$C$2:$L$29,10,FALSE),0)</f>
        <v>0.01</v>
      </c>
      <c r="P5" s="122">
        <f>IFERROR(I5/VLOOKUP(G5,'Paint Unified'!$C$2:$L$29,10,FALSE),0)</f>
        <v>0</v>
      </c>
    </row>
    <row r="6" spans="2:16" x14ac:dyDescent="0.2">
      <c r="B6" s="20" t="str">
        <f>IFERROR('Areas and paint'!B6," ")</f>
        <v>Foyer</v>
      </c>
      <c r="C6" s="28" t="str">
        <f>IFERROR('Areas and paint'!C6," ")</f>
        <v>PM200 HP 0 EG EW  Pro Mar 200 HP</v>
      </c>
      <c r="D6" s="88">
        <f>'Areas and paint'!D6*'Areas and paint'!E6</f>
        <v>18</v>
      </c>
      <c r="E6" s="88">
        <f>'Areas and paint'!D6*'Areas and paint'!F6</f>
        <v>18</v>
      </c>
      <c r="F6" s="91">
        <f t="shared" ref="F6:F43" si="0">D6+E6</f>
        <v>36</v>
      </c>
      <c r="G6" s="41" t="str">
        <f>IFERROR('Areas and paint'!H6,0)</f>
        <v>Aura Bath &amp; Spa Matte Base 1</v>
      </c>
      <c r="H6" s="45">
        <f>'Areas and paint'!I6*'Areas and paint'!J6</f>
        <v>0</v>
      </c>
      <c r="I6" s="45">
        <f>'Areas and paint'!I6*'Areas and paint'!K6</f>
        <v>0</v>
      </c>
      <c r="J6" s="94">
        <f t="shared" ref="J6:J43" si="1">H6+I6</f>
        <v>0</v>
      </c>
      <c r="K6" s="110" t="str">
        <f t="shared" ref="K6:K43" si="2">C6</f>
        <v>PM200 HP 0 EG EW  Pro Mar 200 HP</v>
      </c>
      <c r="L6" s="109">
        <f>IFERROR(D6/VLOOKUP($C$46,'Paint Unified'!$C$2:$L$29,10,FALSE),0)</f>
        <v>4.4999999999999998E-2</v>
      </c>
      <c r="M6" s="110">
        <f>IFERROR(E6/VLOOKUP(C6,'Paint Unified'!$C$2:$L$29,10,FALSE),0)</f>
        <v>0.06</v>
      </c>
      <c r="N6" s="132" t="str">
        <f t="shared" ref="N6:N43" si="3">G6</f>
        <v>Aura Bath &amp; Spa Matte Base 1</v>
      </c>
      <c r="O6" s="127">
        <f>IFERROR(H6/VLOOKUP($C$47,'Paint Unified'!$C$2:$L$29,10,FALSE),0)</f>
        <v>0</v>
      </c>
      <c r="P6" s="122">
        <f>IFERROR(I6/VLOOKUP(G6,'Paint Unified'!$C$2:$L$29,10,FALSE),0)</f>
        <v>0</v>
      </c>
    </row>
    <row r="7" spans="2:16" x14ac:dyDescent="0.2">
      <c r="B7" s="19" t="str">
        <f>IFERROR('Areas and paint'!B7," ")</f>
        <v>Bedroom</v>
      </c>
      <c r="C7" s="28" t="str">
        <f>IFERROR('Areas and paint'!C7," ")</f>
        <v>PM 200 0 FL EXTRA Pro Mar 200 Zero Voc Contractor grade</v>
      </c>
      <c r="D7" s="30">
        <f>'Areas and paint'!D7*'Areas and paint'!E7</f>
        <v>84</v>
      </c>
      <c r="E7" s="30">
        <f>'Areas and paint'!D7*'Areas and paint'!F7</f>
        <v>84</v>
      </c>
      <c r="F7" s="31">
        <f t="shared" si="0"/>
        <v>168</v>
      </c>
      <c r="G7" s="41" t="str">
        <f>IFERROR('Areas and paint'!H7,0)</f>
        <v>Waterborne Ceiling Paint White</v>
      </c>
      <c r="H7" s="45">
        <f>'Areas and paint'!I7*'Areas and paint'!J7</f>
        <v>10</v>
      </c>
      <c r="I7" s="45">
        <f>'Areas and paint'!I7*'Areas and paint'!K7</f>
        <v>10</v>
      </c>
      <c r="J7" s="94">
        <f t="shared" si="1"/>
        <v>20</v>
      </c>
      <c r="K7" s="110" t="str">
        <f t="shared" si="2"/>
        <v>PM 200 0 FL EXTRA Pro Mar 200 Zero Voc Contractor grade</v>
      </c>
      <c r="L7" s="109">
        <f>IFERROR(D7/VLOOKUP($C$46,'Paint Unified'!$C$2:$L$29,10,FALSE),0)</f>
        <v>0.21</v>
      </c>
      <c r="M7" s="110">
        <f>IFERROR(E7/VLOOKUP(C7,'Paint Unified'!$C$2:$L$29,10,FALSE),0)</f>
        <v>0.28000000000000003</v>
      </c>
      <c r="N7" s="132" t="str">
        <f t="shared" si="3"/>
        <v>Waterborne Ceiling Paint White</v>
      </c>
      <c r="O7" s="127">
        <f>IFERROR(H7/VLOOKUP($C$47,'Paint Unified'!$C$2:$L$29,10,FALSE),0)</f>
        <v>2.5000000000000001E-2</v>
      </c>
      <c r="P7" s="122">
        <f>IFERROR(I7/VLOOKUP(G7,'Paint Unified'!$C$2:$L$29,10,FALSE),0)</f>
        <v>0</v>
      </c>
    </row>
    <row r="8" spans="2:16" x14ac:dyDescent="0.2">
      <c r="B8" s="20" t="str">
        <f>IFERROR('Areas and paint'!B8," ")</f>
        <v>Closet</v>
      </c>
      <c r="C8" s="28" t="str">
        <f>IFERROR('Areas and paint'!C8," ")</f>
        <v>SPR INT SA AIR EW SuperPaint Air</v>
      </c>
      <c r="D8" s="30">
        <f>'Areas and paint'!D8*'Areas and paint'!E8</f>
        <v>60</v>
      </c>
      <c r="E8" s="30">
        <f>'Areas and paint'!D8*'Areas and paint'!F8</f>
        <v>60</v>
      </c>
      <c r="F8" s="31">
        <f t="shared" si="0"/>
        <v>120</v>
      </c>
      <c r="G8" s="41" t="str">
        <f>IFERROR('Areas and paint'!H8,0)</f>
        <v>Waterborne Ceiling Paint White</v>
      </c>
      <c r="H8" s="45">
        <f>'Areas and paint'!I8*'Areas and paint'!J8</f>
        <v>0</v>
      </c>
      <c r="I8" s="45">
        <f>'Areas and paint'!I8*'Areas and paint'!K8</f>
        <v>0</v>
      </c>
      <c r="J8" s="94">
        <f t="shared" si="1"/>
        <v>0</v>
      </c>
      <c r="K8" s="110" t="str">
        <f t="shared" si="2"/>
        <v>SPR INT SA AIR EW SuperPaint Air</v>
      </c>
      <c r="L8" s="109">
        <f>IFERROR(D8/VLOOKUP($C$46,'Paint Unified'!$C$2:$L$29,10,FALSE),0)</f>
        <v>0.15</v>
      </c>
      <c r="M8" s="110">
        <f>IFERROR(E8/VLOOKUP(C8,'Paint Unified'!$C$2:$L$29,10,FALSE),0)</f>
        <v>0.2</v>
      </c>
      <c r="N8" s="132" t="str">
        <f t="shared" si="3"/>
        <v>Waterborne Ceiling Paint White</v>
      </c>
      <c r="O8" s="127">
        <f>IFERROR(H8/VLOOKUP($C$47,'Paint Unified'!$C$2:$L$29,10,FALSE),0)</f>
        <v>0</v>
      </c>
      <c r="P8" s="122">
        <f>IFERROR(I8/VLOOKUP(G8,'Paint Unified'!$C$2:$L$29,10,FALSE),0)</f>
        <v>0</v>
      </c>
    </row>
    <row r="9" spans="2:16" x14ac:dyDescent="0.2">
      <c r="B9" s="19" t="str">
        <f>IFERROR('Areas and paint'!B9," ")</f>
        <v>Mechanical room</v>
      </c>
      <c r="C9" s="28" t="str">
        <f>IFERROR('Areas and paint'!C9," ")</f>
        <v>PM 200 0 FL EXTRA Pro Mar 200 Zero Voc Contractor grade</v>
      </c>
      <c r="D9" s="30">
        <f>'Areas and paint'!D9*'Areas and paint'!E9</f>
        <v>170</v>
      </c>
      <c r="E9" s="30">
        <f>'Areas and paint'!D9*'Areas and paint'!F9</f>
        <v>170</v>
      </c>
      <c r="F9" s="31">
        <f t="shared" si="0"/>
        <v>340</v>
      </c>
      <c r="G9" s="41" t="str">
        <f>IFERROR('Areas and paint'!H9,0)</f>
        <v>PM 400 0 FL EXTRA Zero Voc Ceiling</v>
      </c>
      <c r="H9" s="45">
        <f>'Areas and paint'!I9*'Areas and paint'!J9</f>
        <v>72</v>
      </c>
      <c r="I9" s="45">
        <f>'Areas and paint'!I9*'Areas and paint'!K9</f>
        <v>72</v>
      </c>
      <c r="J9" s="94">
        <f t="shared" si="1"/>
        <v>144</v>
      </c>
      <c r="K9" s="110" t="str">
        <f t="shared" si="2"/>
        <v>PM 200 0 FL EXTRA Pro Mar 200 Zero Voc Contractor grade</v>
      </c>
      <c r="L9" s="109">
        <f>IFERROR(D9/VLOOKUP($C$46,'Paint Unified'!$C$2:$L$29,10,FALSE),0)</f>
        <v>0.42499999999999999</v>
      </c>
      <c r="M9" s="110">
        <f>IFERROR(E9/VLOOKUP(C9,'Paint Unified'!$C$2:$L$29,10,FALSE),0)</f>
        <v>0.56666666666666665</v>
      </c>
      <c r="N9" s="132" t="str">
        <f t="shared" si="3"/>
        <v>PM 400 0 FL EXTRA Zero Voc Ceiling</v>
      </c>
      <c r="O9" s="127">
        <f>IFERROR(H9/VLOOKUP($C$47,'Paint Unified'!$C$2:$L$29,10,FALSE),0)</f>
        <v>0.18</v>
      </c>
      <c r="P9" s="122">
        <f>IFERROR(I9/VLOOKUP(G9,'Paint Unified'!$C$2:$L$29,10,FALSE),0)</f>
        <v>0.24</v>
      </c>
    </row>
    <row r="10" spans="2:16" x14ac:dyDescent="0.2">
      <c r="B10" s="19" t="str">
        <f>IFERROR('Areas and paint'!B10," ")</f>
        <v>Closet</v>
      </c>
      <c r="C10" s="28" t="str">
        <f>IFERROR('Areas and paint'!C10," ")</f>
        <v>PM 200 0 FL EXTRA Pro Mar 200 Zero Voc Contractor grade</v>
      </c>
      <c r="D10" s="30">
        <f>'Areas and paint'!D10*'Areas and paint'!E10</f>
        <v>154</v>
      </c>
      <c r="E10" s="30">
        <f>'Areas and paint'!D10*'Areas and paint'!F10</f>
        <v>154</v>
      </c>
      <c r="F10" s="31">
        <f t="shared" si="0"/>
        <v>308</v>
      </c>
      <c r="G10" s="41" t="str">
        <f>IFERROR('Areas and paint'!H10,0)</f>
        <v>PM 400 0 FL EXTRA Zero Voc Ceiling</v>
      </c>
      <c r="H10" s="45">
        <f>'Areas and paint'!I10*'Areas and paint'!J10</f>
        <v>30</v>
      </c>
      <c r="I10" s="45">
        <f>'Areas and paint'!I10*'Areas and paint'!K10</f>
        <v>30</v>
      </c>
      <c r="J10" s="94">
        <f t="shared" si="1"/>
        <v>60</v>
      </c>
      <c r="K10" s="110" t="str">
        <f t="shared" si="2"/>
        <v>PM 200 0 FL EXTRA Pro Mar 200 Zero Voc Contractor grade</v>
      </c>
      <c r="L10" s="109">
        <f>IFERROR(D10/VLOOKUP($C$46,'Paint Unified'!$C$2:$L$29,10,FALSE),0)</f>
        <v>0.38500000000000001</v>
      </c>
      <c r="M10" s="110">
        <f>IFERROR(E10/VLOOKUP(C10,'Paint Unified'!$C$2:$L$29,10,FALSE),0)</f>
        <v>0.51333333333333331</v>
      </c>
      <c r="N10" s="132" t="str">
        <f t="shared" si="3"/>
        <v>PM 400 0 FL EXTRA Zero Voc Ceiling</v>
      </c>
      <c r="O10" s="127">
        <f>IFERROR(H10/VLOOKUP($C$47,'Paint Unified'!$C$2:$L$29,10,FALSE),0)</f>
        <v>7.4999999999999997E-2</v>
      </c>
      <c r="P10" s="122">
        <f>IFERROR(I10/VLOOKUP(G10,'Paint Unified'!$C$2:$L$29,10,FALSE),0)</f>
        <v>0.1</v>
      </c>
    </row>
    <row r="11" spans="2:16" x14ac:dyDescent="0.2">
      <c r="B11" s="19" t="str">
        <f>IFERROR('Areas and paint'!B11," ")</f>
        <v>Bedroom</v>
      </c>
      <c r="C11" s="28" t="str">
        <f>IFERROR('Areas and paint'!C11," ")</f>
        <v>PM200 HP 0 EG EW  Pro Mar 200 HP</v>
      </c>
      <c r="D11" s="30">
        <f>'Areas and paint'!D11*'Areas and paint'!E11</f>
        <v>510</v>
      </c>
      <c r="E11" s="30">
        <f>'Areas and paint'!D11*'Areas and paint'!F11</f>
        <v>510</v>
      </c>
      <c r="F11" s="31">
        <f t="shared" si="0"/>
        <v>1020</v>
      </c>
      <c r="G11" s="41" t="str">
        <f>IFERROR('Areas and paint'!H11,0)</f>
        <v>PM 400 0 FL EXTRA Zero Voc Ceiling</v>
      </c>
      <c r="H11" s="45">
        <f>'Areas and paint'!I11*'Areas and paint'!J11</f>
        <v>0</v>
      </c>
      <c r="I11" s="45">
        <f>'Areas and paint'!I11*'Areas and paint'!K11</f>
        <v>0</v>
      </c>
      <c r="J11" s="94">
        <f t="shared" si="1"/>
        <v>0</v>
      </c>
      <c r="K11" s="110" t="str">
        <f t="shared" si="2"/>
        <v>PM200 HP 0 EG EW  Pro Mar 200 HP</v>
      </c>
      <c r="L11" s="109">
        <f>IFERROR(D11/VLOOKUP($C$46,'Paint Unified'!$C$2:$L$29,10,FALSE),0)</f>
        <v>1.2749999999999999</v>
      </c>
      <c r="M11" s="110">
        <f>IFERROR(E11/VLOOKUP(C11,'Paint Unified'!$C$2:$L$29,10,FALSE),0)</f>
        <v>1.7</v>
      </c>
      <c r="N11" s="132" t="str">
        <f t="shared" si="3"/>
        <v>PM 400 0 FL EXTRA Zero Voc Ceiling</v>
      </c>
      <c r="O11" s="127">
        <f>IFERROR(H11/VLOOKUP($C$47,'Paint Unified'!$C$2:$L$29,10,FALSE),0)</f>
        <v>0</v>
      </c>
      <c r="P11" s="122">
        <f>IFERROR(I11/VLOOKUP(G11,'Paint Unified'!$C$2:$L$29,10,FALSE),0)</f>
        <v>0</v>
      </c>
    </row>
    <row r="12" spans="2:16" x14ac:dyDescent="0.2">
      <c r="B12" s="19" t="str">
        <f>IFERROR('Areas and paint'!B12," ")</f>
        <v>Mechanical room</v>
      </c>
      <c r="C12" s="28" t="str">
        <f>IFERROR('Areas and paint'!C12," ")</f>
        <v>PM 200 0 FL EXTRA Pro Mar 200 Zero Voc Contractor grade</v>
      </c>
      <c r="D12" s="30">
        <f>'Areas and paint'!D12*'Areas and paint'!E12</f>
        <v>484</v>
      </c>
      <c r="E12" s="30">
        <f>'Areas and paint'!D12*'Areas and paint'!F12</f>
        <v>484</v>
      </c>
      <c r="F12" s="31">
        <f t="shared" si="0"/>
        <v>968</v>
      </c>
      <c r="G12" s="41" t="str">
        <f>IFERROR('Areas and paint'!H12,0)</f>
        <v>PM 400 0 FL EXTRA Zero Voc Ceiling</v>
      </c>
      <c r="H12" s="45">
        <f>'Areas and paint'!I12*'Areas and paint'!J12</f>
        <v>0</v>
      </c>
      <c r="I12" s="45">
        <f>'Areas and paint'!I12*'Areas and paint'!K12</f>
        <v>0</v>
      </c>
      <c r="J12" s="94">
        <f t="shared" si="1"/>
        <v>0</v>
      </c>
      <c r="K12" s="110" t="str">
        <f t="shared" si="2"/>
        <v>PM 200 0 FL EXTRA Pro Mar 200 Zero Voc Contractor grade</v>
      </c>
      <c r="L12" s="109">
        <f>IFERROR(D12/VLOOKUP($C$46,'Paint Unified'!$C$2:$L$29,10,FALSE),0)</f>
        <v>1.21</v>
      </c>
      <c r="M12" s="110">
        <f>IFERROR(E12/VLOOKUP(C12,'Paint Unified'!$C$2:$L$29,10,FALSE),0)</f>
        <v>1.6133333333333333</v>
      </c>
      <c r="N12" s="132" t="str">
        <f t="shared" si="3"/>
        <v>PM 400 0 FL EXTRA Zero Voc Ceiling</v>
      </c>
      <c r="O12" s="127">
        <f>IFERROR(H12/VLOOKUP($C$47,'Paint Unified'!$C$2:$L$29,10,FALSE),0)</f>
        <v>0</v>
      </c>
      <c r="P12" s="122">
        <f>IFERROR(I12/VLOOKUP(G12,'Paint Unified'!$C$2:$L$29,10,FALSE),0)</f>
        <v>0</v>
      </c>
    </row>
    <row r="13" spans="2:16" x14ac:dyDescent="0.2">
      <c r="B13" s="19" t="str">
        <f>IFERROR('Areas and paint'!B13," ")</f>
        <v>Closet</v>
      </c>
      <c r="C13" s="28" t="str">
        <f>IFERROR('Areas and paint'!C13," ")</f>
        <v>PM 200 0 FL EXTRA Pro Mar 200 Zero Voc Contractor grade</v>
      </c>
      <c r="D13" s="30">
        <f>'Areas and paint'!D13*'Areas and paint'!E13</f>
        <v>384</v>
      </c>
      <c r="E13" s="30">
        <f>'Areas and paint'!D13*'Areas and paint'!F13</f>
        <v>384</v>
      </c>
      <c r="F13" s="31">
        <f t="shared" si="0"/>
        <v>768</v>
      </c>
      <c r="G13" s="41" t="str">
        <f>IFERROR('Areas and paint'!H13,0)</f>
        <v>PM 400 0 FL EXTRA Zero Voc Ceiling</v>
      </c>
      <c r="H13" s="45">
        <f>'Areas and paint'!I13*'Areas and paint'!J13</f>
        <v>0</v>
      </c>
      <c r="I13" s="45">
        <f>'Areas and paint'!I13*'Areas and paint'!K13</f>
        <v>0</v>
      </c>
      <c r="J13" s="94">
        <f t="shared" si="1"/>
        <v>0</v>
      </c>
      <c r="K13" s="110" t="str">
        <f t="shared" si="2"/>
        <v>PM 200 0 FL EXTRA Pro Mar 200 Zero Voc Contractor grade</v>
      </c>
      <c r="L13" s="109">
        <f>IFERROR(D13/VLOOKUP($C$46,'Paint Unified'!$C$2:$L$29,10,FALSE),0)</f>
        <v>0.96</v>
      </c>
      <c r="M13" s="110">
        <f>IFERROR(E13/VLOOKUP(C13,'Paint Unified'!$C$2:$L$29,10,FALSE),0)</f>
        <v>1.28</v>
      </c>
      <c r="N13" s="132" t="str">
        <f t="shared" si="3"/>
        <v>PM 400 0 FL EXTRA Zero Voc Ceiling</v>
      </c>
      <c r="O13" s="127">
        <f>IFERROR(H13/VLOOKUP($C$47,'Paint Unified'!$C$2:$L$29,10,FALSE),0)</f>
        <v>0</v>
      </c>
      <c r="P13" s="122">
        <f>IFERROR(I13/VLOOKUP(G13,'Paint Unified'!$C$2:$L$29,10,FALSE),0)</f>
        <v>0</v>
      </c>
    </row>
    <row r="14" spans="2:16" x14ac:dyDescent="0.2">
      <c r="B14" s="19">
        <f>IFERROR('Areas and paint'!B14," ")</f>
        <v>0</v>
      </c>
      <c r="C14" s="28">
        <f>IFERROR('Areas and paint'!C14," ")</f>
        <v>0</v>
      </c>
      <c r="D14" s="30">
        <f>'Areas and paint'!D14*'Areas and paint'!E14</f>
        <v>0</v>
      </c>
      <c r="E14" s="30">
        <f>'Areas and paint'!D14*'Areas and paint'!F14</f>
        <v>0</v>
      </c>
      <c r="F14" s="31">
        <f t="shared" si="0"/>
        <v>0</v>
      </c>
      <c r="G14" s="41">
        <f>IFERROR('Areas and paint'!H14,0)</f>
        <v>0</v>
      </c>
      <c r="H14" s="45">
        <f>'Areas and paint'!I14*'Areas and paint'!J14</f>
        <v>0</v>
      </c>
      <c r="I14" s="45">
        <f>'Areas and paint'!I14*'Areas and paint'!K14</f>
        <v>0</v>
      </c>
      <c r="J14" s="94">
        <f t="shared" si="1"/>
        <v>0</v>
      </c>
      <c r="K14" s="110">
        <f t="shared" si="2"/>
        <v>0</v>
      </c>
      <c r="L14" s="109">
        <f>IFERROR(D14/VLOOKUP($C$46,'Paint Unified'!$C$2:$L$29,10,FALSE),0)</f>
        <v>0</v>
      </c>
      <c r="M14" s="110">
        <f>IFERROR(E14/VLOOKUP(C14,'Paint Unified'!$C$2:$L$29,10,FALSE),0)</f>
        <v>0</v>
      </c>
      <c r="N14" s="132">
        <f t="shared" si="3"/>
        <v>0</v>
      </c>
      <c r="O14" s="127">
        <f>IFERROR(H14/VLOOKUP($C$47,'Paint Unified'!$C$2:$L$29,10,FALSE),0)</f>
        <v>0</v>
      </c>
      <c r="P14" s="122">
        <f>IFERROR(I14/VLOOKUP(G14,'Paint Unified'!$C$2:$L$29,10,FALSE),0)</f>
        <v>0</v>
      </c>
    </row>
    <row r="15" spans="2:16" x14ac:dyDescent="0.2">
      <c r="B15" s="25">
        <f>IFERROR('Areas and paint'!B15," ")</f>
        <v>0</v>
      </c>
      <c r="C15" s="29">
        <f>IFERROR('Areas and paint'!C15," ")</f>
        <v>0</v>
      </c>
      <c r="D15" s="89">
        <f>'Areas and paint'!D15*'Areas and paint'!E15</f>
        <v>0</v>
      </c>
      <c r="E15" s="89">
        <f>'Areas and paint'!D15*'Areas and paint'!F15</f>
        <v>0</v>
      </c>
      <c r="F15" s="92">
        <f t="shared" si="0"/>
        <v>0</v>
      </c>
      <c r="G15" s="42">
        <f>IFERROR('Areas and paint'!H15,0)</f>
        <v>0</v>
      </c>
      <c r="H15" s="95">
        <f>'Areas and paint'!I15*'Areas and paint'!J15</f>
        <v>0</v>
      </c>
      <c r="I15" s="95">
        <f>'Areas and paint'!I15*'Areas and paint'!K15</f>
        <v>0</v>
      </c>
      <c r="J15" s="96">
        <f t="shared" si="1"/>
        <v>0</v>
      </c>
      <c r="K15" s="114">
        <f t="shared" si="2"/>
        <v>0</v>
      </c>
      <c r="L15" s="111">
        <f>IFERROR(D15/VLOOKUP($C$46,'Paint Unified'!$C$2:$L$29,10,FALSE),0)</f>
        <v>0</v>
      </c>
      <c r="M15" s="114">
        <f>IFERROR(E15/VLOOKUP(C15,'Paint Unified'!$C$2:$L$29,10,FALSE),0)</f>
        <v>0</v>
      </c>
      <c r="N15" s="133">
        <f t="shared" si="3"/>
        <v>0</v>
      </c>
      <c r="O15" s="128">
        <f>IFERROR(H15/VLOOKUP($C$47,'Paint Unified'!$C$2:$L$29,10,FALSE),0)</f>
        <v>0</v>
      </c>
      <c r="P15" s="123">
        <f>IFERROR(I15/VLOOKUP(G15,'Paint Unified'!$C$2:$L$29,10,FALSE),0)</f>
        <v>0</v>
      </c>
    </row>
    <row r="16" spans="2:16" x14ac:dyDescent="0.2">
      <c r="B16" s="19">
        <f>IFERROR('Areas and paint'!B16," ")</f>
        <v>0</v>
      </c>
      <c r="C16" s="28">
        <f>IFERROR('Areas and paint'!C16," ")</f>
        <v>0</v>
      </c>
      <c r="D16" s="30">
        <f>'Areas and paint'!D16*'Areas and paint'!E16</f>
        <v>0</v>
      </c>
      <c r="E16" s="30">
        <f>'Areas and paint'!D16*'Areas and paint'!F16</f>
        <v>0</v>
      </c>
      <c r="F16" s="31">
        <f t="shared" si="0"/>
        <v>0</v>
      </c>
      <c r="G16" s="41">
        <f>IFERROR('Areas and paint'!H16,0)</f>
        <v>0</v>
      </c>
      <c r="H16" s="45">
        <f>'Areas and paint'!I16*'Areas and paint'!J16</f>
        <v>0</v>
      </c>
      <c r="I16" s="45">
        <f>'Areas and paint'!I16*'Areas and paint'!K16</f>
        <v>0</v>
      </c>
      <c r="J16" s="94">
        <f t="shared" si="1"/>
        <v>0</v>
      </c>
      <c r="K16" s="115">
        <f t="shared" si="2"/>
        <v>0</v>
      </c>
      <c r="L16" s="112">
        <f>IFERROR(D16/VLOOKUP($C$46,'Paint Unified'!$C$2:$L$29,10,FALSE),0)</f>
        <v>0</v>
      </c>
      <c r="M16" s="115">
        <f>IFERROR(E16/VLOOKUP(C16,'Paint Unified'!$C$2:$L$29,10,FALSE),0)</f>
        <v>0</v>
      </c>
      <c r="N16" s="134">
        <f t="shared" si="3"/>
        <v>0</v>
      </c>
      <c r="O16" s="129">
        <f>IFERROR(H16/VLOOKUP($C$47,'Paint Unified'!$C$2:$L$29,10,FALSE),0)</f>
        <v>0</v>
      </c>
      <c r="P16" s="124">
        <f>IFERROR(I16/VLOOKUP(G16,'Paint Unified'!$C$2:$L$29,10,FALSE),0)</f>
        <v>0</v>
      </c>
    </row>
    <row r="17" spans="2:16" x14ac:dyDescent="0.2">
      <c r="B17" s="19">
        <f>IFERROR('Areas and paint'!B17," ")</f>
        <v>0</v>
      </c>
      <c r="C17" s="28">
        <f>IFERROR('Areas and paint'!C17," ")</f>
        <v>0</v>
      </c>
      <c r="D17" s="30">
        <f>'Areas and paint'!D17*'Areas and paint'!E17</f>
        <v>0</v>
      </c>
      <c r="E17" s="30">
        <f>'Areas and paint'!D17*'Areas and paint'!F17</f>
        <v>0</v>
      </c>
      <c r="F17" s="31">
        <f t="shared" si="0"/>
        <v>0</v>
      </c>
      <c r="G17" s="41">
        <f>IFERROR('Areas and paint'!H17,0)</f>
        <v>0</v>
      </c>
      <c r="H17" s="45">
        <f>'Areas and paint'!I17*'Areas and paint'!J17</f>
        <v>0</v>
      </c>
      <c r="I17" s="45">
        <f>'Areas and paint'!I17*'Areas and paint'!K17</f>
        <v>0</v>
      </c>
      <c r="J17" s="94">
        <f t="shared" si="1"/>
        <v>0</v>
      </c>
      <c r="K17" s="110">
        <f t="shared" si="2"/>
        <v>0</v>
      </c>
      <c r="L17" s="109">
        <f>IFERROR(D17/VLOOKUP($C$46,'Paint Unified'!$C$2:$L$29,10,FALSE),0)</f>
        <v>0</v>
      </c>
      <c r="M17" s="110">
        <f>IFERROR(E17/VLOOKUP(C17,'Paint Unified'!$C$2:$L$29,10,FALSE),0)</f>
        <v>0</v>
      </c>
      <c r="N17" s="132">
        <f t="shared" si="3"/>
        <v>0</v>
      </c>
      <c r="O17" s="127">
        <f>IFERROR(H17/VLOOKUP($C$47,'Paint Unified'!$C$2:$L$29,10,FALSE),0)</f>
        <v>0</v>
      </c>
      <c r="P17" s="122">
        <f>IFERROR(I17/VLOOKUP(G17,'Paint Unified'!$C$2:$L$29,10,FALSE),0)</f>
        <v>0</v>
      </c>
    </row>
    <row r="18" spans="2:16" x14ac:dyDescent="0.2">
      <c r="B18" s="19">
        <f>IFERROR('Areas and paint'!B18," ")</f>
        <v>0</v>
      </c>
      <c r="C18" s="28">
        <f>IFERROR('Areas and paint'!C18," ")</f>
        <v>0</v>
      </c>
      <c r="D18" s="30">
        <f>'Areas and paint'!D18*'Areas and paint'!E18</f>
        <v>0</v>
      </c>
      <c r="E18" s="30">
        <f>'Areas and paint'!D18*'Areas and paint'!F18</f>
        <v>0</v>
      </c>
      <c r="F18" s="31">
        <f t="shared" si="0"/>
        <v>0</v>
      </c>
      <c r="G18" s="41">
        <f>IFERROR('Areas and paint'!H18,0)</f>
        <v>0</v>
      </c>
      <c r="H18" s="45">
        <f>'Areas and paint'!I18*'Areas and paint'!J18</f>
        <v>0</v>
      </c>
      <c r="I18" s="45">
        <f>'Areas and paint'!I18*'Areas and paint'!K18</f>
        <v>0</v>
      </c>
      <c r="J18" s="94">
        <f t="shared" si="1"/>
        <v>0</v>
      </c>
      <c r="K18" s="110">
        <f t="shared" si="2"/>
        <v>0</v>
      </c>
      <c r="L18" s="109">
        <f>IFERROR(D18/VLOOKUP($C$46,'Paint Unified'!$C$2:$L$29,10,FALSE),0)</f>
        <v>0</v>
      </c>
      <c r="M18" s="110">
        <f>IFERROR(E18/VLOOKUP(C18,'Paint Unified'!$C$2:$L$29,10,FALSE),0)</f>
        <v>0</v>
      </c>
      <c r="N18" s="132">
        <f t="shared" si="3"/>
        <v>0</v>
      </c>
      <c r="O18" s="127">
        <f>IFERROR(H18/VLOOKUP($C$47,'Paint Unified'!$C$2:$L$29,10,FALSE),0)</f>
        <v>0</v>
      </c>
      <c r="P18" s="122">
        <f>IFERROR(I18/VLOOKUP(G18,'Paint Unified'!$C$2:$L$29,10,FALSE),0)</f>
        <v>0</v>
      </c>
    </row>
    <row r="19" spans="2:16" x14ac:dyDescent="0.2">
      <c r="B19" s="19">
        <f>IFERROR('Areas and paint'!B19," ")</f>
        <v>0</v>
      </c>
      <c r="C19" s="28">
        <f>IFERROR('Areas and paint'!C19," ")</f>
        <v>0</v>
      </c>
      <c r="D19" s="30">
        <f>'Areas and paint'!D19*'Areas and paint'!E19</f>
        <v>0</v>
      </c>
      <c r="E19" s="30">
        <f>'Areas and paint'!D19*'Areas and paint'!F19</f>
        <v>0</v>
      </c>
      <c r="F19" s="31">
        <f t="shared" si="0"/>
        <v>0</v>
      </c>
      <c r="G19" s="41">
        <f>IFERROR('Areas and paint'!H19,0)</f>
        <v>0</v>
      </c>
      <c r="H19" s="45">
        <f>'Areas and paint'!I19*'Areas and paint'!J19</f>
        <v>0</v>
      </c>
      <c r="I19" s="45">
        <f>'Areas and paint'!I19*'Areas and paint'!K19</f>
        <v>0</v>
      </c>
      <c r="J19" s="94">
        <f t="shared" si="1"/>
        <v>0</v>
      </c>
      <c r="K19" s="110">
        <f t="shared" si="2"/>
        <v>0</v>
      </c>
      <c r="L19" s="109">
        <f>IFERROR(D19/VLOOKUP($C$46,'Paint Unified'!$C$2:$L$29,10,FALSE),0)</f>
        <v>0</v>
      </c>
      <c r="M19" s="110">
        <f>IFERROR(E19/VLOOKUP(C19,'Paint Unified'!$C$2:$L$29,10,FALSE),0)</f>
        <v>0</v>
      </c>
      <c r="N19" s="132">
        <f t="shared" si="3"/>
        <v>0</v>
      </c>
      <c r="O19" s="127">
        <f>IFERROR(H19/VLOOKUP($C$47,'Paint Unified'!$C$2:$L$29,10,FALSE),0)</f>
        <v>0</v>
      </c>
      <c r="P19" s="122">
        <f>IFERROR(I19/VLOOKUP(G19,'Paint Unified'!$C$2:$L$29,10,FALSE),0)</f>
        <v>0</v>
      </c>
    </row>
    <row r="20" spans="2:16" x14ac:dyDescent="0.2">
      <c r="B20" s="19" t="str">
        <f>IFERROR('Areas and paint'!#REF!," ")</f>
        <v xml:space="preserve"> </v>
      </c>
      <c r="C20" s="28" t="str">
        <f>IFERROR('Areas and paint'!#REF!," ")</f>
        <v xml:space="preserve"> </v>
      </c>
      <c r="D20" s="30" t="e">
        <f>'Areas and paint'!#REF!*'Areas and paint'!#REF!</f>
        <v>#REF!</v>
      </c>
      <c r="E20" s="30" t="e">
        <f>'Areas and paint'!#REF!*'Areas and paint'!#REF!</f>
        <v>#REF!</v>
      </c>
      <c r="F20" s="31" t="e">
        <f t="shared" si="0"/>
        <v>#REF!</v>
      </c>
      <c r="G20" s="41">
        <f>IFERROR('Areas and paint'!#REF!,0)</f>
        <v>0</v>
      </c>
      <c r="H20" s="45" t="e">
        <f>'Areas and paint'!#REF!*'Areas and paint'!#REF!</f>
        <v>#REF!</v>
      </c>
      <c r="I20" s="45" t="e">
        <f>'Areas and paint'!#REF!*'Areas and paint'!#REF!</f>
        <v>#REF!</v>
      </c>
      <c r="J20" s="94" t="e">
        <f t="shared" si="1"/>
        <v>#REF!</v>
      </c>
      <c r="K20" s="110" t="str">
        <f t="shared" si="2"/>
        <v xml:space="preserve"> </v>
      </c>
      <c r="L20" s="109">
        <f>IFERROR(D20/VLOOKUP($C$46,'Paint Unified'!$C$2:$L$29,10,FALSE),0)</f>
        <v>0</v>
      </c>
      <c r="M20" s="110">
        <f>IFERROR(E20/VLOOKUP(C20,'Paint Unified'!$C$2:$L$29,10,FALSE),0)</f>
        <v>0</v>
      </c>
      <c r="N20" s="132">
        <f t="shared" si="3"/>
        <v>0</v>
      </c>
      <c r="O20" s="127">
        <f>IFERROR(H20/VLOOKUP($C$47,'Paint Unified'!$C$2:$L$29,10,FALSE),0)</f>
        <v>0</v>
      </c>
      <c r="P20" s="122">
        <f>IFERROR(I20/VLOOKUP(G20,'Paint Unified'!$C$2:$L$29,10,FALSE),0)</f>
        <v>0</v>
      </c>
    </row>
    <row r="21" spans="2:16" x14ac:dyDescent="0.2">
      <c r="B21" s="19" t="str">
        <f>IFERROR('Areas and paint'!#REF!," ")</f>
        <v xml:space="preserve"> </v>
      </c>
      <c r="C21" s="28" t="str">
        <f>IFERROR('Areas and paint'!#REF!," ")</f>
        <v xml:space="preserve"> </v>
      </c>
      <c r="D21" s="30" t="e">
        <f>'Areas and paint'!#REF!*'Areas and paint'!#REF!</f>
        <v>#REF!</v>
      </c>
      <c r="E21" s="30" t="e">
        <f>'Areas and paint'!#REF!*'Areas and paint'!#REF!</f>
        <v>#REF!</v>
      </c>
      <c r="F21" s="31" t="e">
        <f t="shared" si="0"/>
        <v>#REF!</v>
      </c>
      <c r="G21" s="41">
        <f>IFERROR('Areas and paint'!#REF!,0)</f>
        <v>0</v>
      </c>
      <c r="H21" s="45" t="e">
        <f>'Areas and paint'!#REF!*'Areas and paint'!#REF!</f>
        <v>#REF!</v>
      </c>
      <c r="I21" s="45" t="e">
        <f>'Areas and paint'!#REF!*'Areas and paint'!#REF!</f>
        <v>#REF!</v>
      </c>
      <c r="J21" s="94" t="e">
        <f t="shared" si="1"/>
        <v>#REF!</v>
      </c>
      <c r="K21" s="110" t="str">
        <f t="shared" si="2"/>
        <v xml:space="preserve"> </v>
      </c>
      <c r="L21" s="109">
        <f>IFERROR(D21/VLOOKUP($C$46,'Paint Unified'!$C$2:$L$29,10,FALSE),0)</f>
        <v>0</v>
      </c>
      <c r="M21" s="110">
        <f>IFERROR(E21/VLOOKUP(C21,'Paint Unified'!$C$2:$L$29,10,FALSE),0)</f>
        <v>0</v>
      </c>
      <c r="N21" s="132">
        <f t="shared" si="3"/>
        <v>0</v>
      </c>
      <c r="O21" s="127">
        <f>IFERROR(H21/VLOOKUP($C$47,'Paint Unified'!$C$2:$L$29,10,FALSE),0)</f>
        <v>0</v>
      </c>
      <c r="P21" s="122">
        <f>IFERROR(I21/VLOOKUP(G21,'Paint Unified'!$C$2:$L$29,10,FALSE),0)</f>
        <v>0</v>
      </c>
    </row>
    <row r="22" spans="2:16" x14ac:dyDescent="0.2">
      <c r="B22" s="19" t="str">
        <f>IFERROR('Areas and paint'!#REF!," ")</f>
        <v xml:space="preserve"> </v>
      </c>
      <c r="C22" s="28" t="str">
        <f>IFERROR('Areas and paint'!#REF!," ")</f>
        <v xml:space="preserve"> </v>
      </c>
      <c r="D22" s="30" t="e">
        <f>'Areas and paint'!#REF!*'Areas and paint'!#REF!</f>
        <v>#REF!</v>
      </c>
      <c r="E22" s="30" t="e">
        <f>'Areas and paint'!#REF!*'Areas and paint'!#REF!</f>
        <v>#REF!</v>
      </c>
      <c r="F22" s="31" t="e">
        <f t="shared" si="0"/>
        <v>#REF!</v>
      </c>
      <c r="G22" s="41">
        <f>IFERROR('Areas and paint'!#REF!,0)</f>
        <v>0</v>
      </c>
      <c r="H22" s="45" t="e">
        <f>'Areas and paint'!#REF!*'Areas and paint'!#REF!</f>
        <v>#REF!</v>
      </c>
      <c r="I22" s="45" t="e">
        <f>'Areas and paint'!#REF!*'Areas and paint'!#REF!</f>
        <v>#REF!</v>
      </c>
      <c r="J22" s="94" t="e">
        <f t="shared" si="1"/>
        <v>#REF!</v>
      </c>
      <c r="K22" s="110" t="str">
        <f t="shared" si="2"/>
        <v xml:space="preserve"> </v>
      </c>
      <c r="L22" s="109">
        <f>IFERROR(D22/VLOOKUP($C$46,'Paint Unified'!$C$2:$L$29,10,FALSE),0)</f>
        <v>0</v>
      </c>
      <c r="M22" s="110">
        <f>IFERROR(E22/VLOOKUP(C22,'Paint Unified'!$C$2:$L$29,10,FALSE),0)</f>
        <v>0</v>
      </c>
      <c r="N22" s="132">
        <f t="shared" si="3"/>
        <v>0</v>
      </c>
      <c r="O22" s="127">
        <f>IFERROR(H22/VLOOKUP($C$47,'Paint Unified'!$C$2:$L$29,10,FALSE),0)</f>
        <v>0</v>
      </c>
      <c r="P22" s="122">
        <f>IFERROR(I22/VLOOKUP(G22,'Paint Unified'!$C$2:$L$29,10,FALSE),0)</f>
        <v>0</v>
      </c>
    </row>
    <row r="23" spans="2:16" x14ac:dyDescent="0.2">
      <c r="B23" s="19" t="str">
        <f>IFERROR('Areas and paint'!#REF!," ")</f>
        <v xml:space="preserve"> </v>
      </c>
      <c r="C23" s="28" t="str">
        <f>IFERROR('Areas and paint'!#REF!," ")</f>
        <v xml:space="preserve"> </v>
      </c>
      <c r="D23" s="30" t="e">
        <f>'Areas and paint'!#REF!*'Areas and paint'!#REF!</f>
        <v>#REF!</v>
      </c>
      <c r="E23" s="30" t="e">
        <f>'Areas and paint'!#REF!*'Areas and paint'!#REF!</f>
        <v>#REF!</v>
      </c>
      <c r="F23" s="31" t="e">
        <f t="shared" si="0"/>
        <v>#REF!</v>
      </c>
      <c r="G23" s="41">
        <f>IFERROR('Areas and paint'!#REF!,0)</f>
        <v>0</v>
      </c>
      <c r="H23" s="45" t="e">
        <f>'Areas and paint'!#REF!*'Areas and paint'!#REF!</f>
        <v>#REF!</v>
      </c>
      <c r="I23" s="45" t="e">
        <f>'Areas and paint'!#REF!*'Areas and paint'!#REF!</f>
        <v>#REF!</v>
      </c>
      <c r="J23" s="94" t="e">
        <f t="shared" si="1"/>
        <v>#REF!</v>
      </c>
      <c r="K23" s="110" t="str">
        <f t="shared" si="2"/>
        <v xml:space="preserve"> </v>
      </c>
      <c r="L23" s="109">
        <f>IFERROR(D23/VLOOKUP($C$46,'Paint Unified'!$C$2:$L$29,10,FALSE),0)</f>
        <v>0</v>
      </c>
      <c r="M23" s="110">
        <f>IFERROR(E23/VLOOKUP(C23,'Paint Unified'!$C$2:$L$29,10,FALSE),0)</f>
        <v>0</v>
      </c>
      <c r="N23" s="132">
        <f t="shared" si="3"/>
        <v>0</v>
      </c>
      <c r="O23" s="127">
        <f>IFERROR(H23/VLOOKUP($C$47,'Paint Unified'!$C$2:$L$29,10,FALSE),0)</f>
        <v>0</v>
      </c>
      <c r="P23" s="122">
        <f>IFERROR(I23/VLOOKUP(G23,'Paint Unified'!$C$2:$L$29,10,FALSE),0)</f>
        <v>0</v>
      </c>
    </row>
    <row r="24" spans="2:16" x14ac:dyDescent="0.2">
      <c r="B24" s="19" t="str">
        <f>IFERROR('Areas and paint'!#REF!," ")</f>
        <v xml:space="preserve"> </v>
      </c>
      <c r="C24" s="28" t="str">
        <f>IFERROR('Areas and paint'!#REF!," ")</f>
        <v xml:space="preserve"> </v>
      </c>
      <c r="D24" s="30" t="e">
        <f>'Areas and paint'!#REF!*'Areas and paint'!#REF!</f>
        <v>#REF!</v>
      </c>
      <c r="E24" s="30" t="e">
        <f>'Areas and paint'!#REF!*'Areas and paint'!#REF!</f>
        <v>#REF!</v>
      </c>
      <c r="F24" s="31" t="e">
        <f t="shared" si="0"/>
        <v>#REF!</v>
      </c>
      <c r="G24" s="41">
        <f>IFERROR('Areas and paint'!#REF!,0)</f>
        <v>0</v>
      </c>
      <c r="H24" s="45" t="e">
        <f>'Areas and paint'!#REF!*'Areas and paint'!#REF!</f>
        <v>#REF!</v>
      </c>
      <c r="I24" s="45" t="e">
        <f>'Areas and paint'!#REF!*'Areas and paint'!#REF!</f>
        <v>#REF!</v>
      </c>
      <c r="J24" s="94" t="e">
        <f t="shared" si="1"/>
        <v>#REF!</v>
      </c>
      <c r="K24" s="115" t="str">
        <f t="shared" si="2"/>
        <v xml:space="preserve"> </v>
      </c>
      <c r="L24" s="112">
        <f>IFERROR(D24/VLOOKUP($C$46,'Paint Unified'!$C$2:$L$29,10,FALSE),0)</f>
        <v>0</v>
      </c>
      <c r="M24" s="115">
        <f>IFERROR(E24/VLOOKUP(C24,'Paint Unified'!$C$2:$L$29,10,FALSE),0)</f>
        <v>0</v>
      </c>
      <c r="N24" s="134">
        <f t="shared" si="3"/>
        <v>0</v>
      </c>
      <c r="O24" s="129">
        <f>IFERROR(H24/VLOOKUP($C$47,'Paint Unified'!$C$2:$L$29,10,FALSE),0)</f>
        <v>0</v>
      </c>
      <c r="P24" s="124">
        <f>IFERROR(I24/VLOOKUP(G24,'Paint Unified'!$C$2:$L$29,10,FALSE),0)</f>
        <v>0</v>
      </c>
    </row>
    <row r="25" spans="2:16" x14ac:dyDescent="0.2">
      <c r="B25" s="21" t="str">
        <f>IFERROR('Areas and paint'!#REF!," ")</f>
        <v xml:space="preserve"> </v>
      </c>
      <c r="C25" s="32" t="str">
        <f>IFERROR('Areas and paint'!#REF!," ")</f>
        <v xml:space="preserve"> </v>
      </c>
      <c r="D25" s="33" t="e">
        <f>'Areas and paint'!#REF!*'Areas and paint'!#REF!</f>
        <v>#REF!</v>
      </c>
      <c r="E25" s="33" t="e">
        <f>'Areas and paint'!#REF!*'Areas and paint'!#REF!</f>
        <v>#REF!</v>
      </c>
      <c r="F25" s="34" t="e">
        <f t="shared" si="0"/>
        <v>#REF!</v>
      </c>
      <c r="G25" s="43">
        <f>IFERROR('Areas and paint'!#REF!,0)</f>
        <v>0</v>
      </c>
      <c r="H25" s="97" t="e">
        <f>'Areas and paint'!#REF!*'Areas and paint'!#REF!</f>
        <v>#REF!</v>
      </c>
      <c r="I25" s="97" t="e">
        <f>'Areas and paint'!#REF!*'Areas and paint'!#REF!</f>
        <v>#REF!</v>
      </c>
      <c r="J25" s="98" t="e">
        <f t="shared" si="1"/>
        <v>#REF!</v>
      </c>
      <c r="K25" s="110" t="str">
        <f t="shared" si="2"/>
        <v xml:space="preserve"> </v>
      </c>
      <c r="L25" s="109">
        <f>IFERROR(D25/VLOOKUP($C$46,'Paint Unified'!$C$2:$L$29,10,FALSE),0)</f>
        <v>0</v>
      </c>
      <c r="M25" s="110">
        <f>IFERROR(E25/VLOOKUP(C25,'Paint Unified'!$C$2:$L$29,10,FALSE),0)</f>
        <v>0</v>
      </c>
      <c r="N25" s="132">
        <f t="shared" si="3"/>
        <v>0</v>
      </c>
      <c r="O25" s="127">
        <f>IFERROR(H25/VLOOKUP($C$47,'Paint Unified'!$C$2:$L$29,10,FALSE),0)</f>
        <v>0</v>
      </c>
      <c r="P25" s="122">
        <f>IFERROR(I25/VLOOKUP(G25,'Paint Unified'!$C$2:$L$29,10,FALSE),0)</f>
        <v>0</v>
      </c>
    </row>
    <row r="26" spans="2:16" x14ac:dyDescent="0.2">
      <c r="B26" s="19" t="str">
        <f>IFERROR('Areas and paint'!#REF!," ")</f>
        <v xml:space="preserve"> </v>
      </c>
      <c r="C26" s="28" t="str">
        <f>IFERROR('Areas and paint'!#REF!," ")</f>
        <v xml:space="preserve"> </v>
      </c>
      <c r="D26" s="30" t="e">
        <f>'Areas and paint'!#REF!*'Areas and paint'!#REF!</f>
        <v>#REF!</v>
      </c>
      <c r="E26" s="30" t="e">
        <f>'Areas and paint'!#REF!*'Areas and paint'!#REF!</f>
        <v>#REF!</v>
      </c>
      <c r="F26" s="31" t="e">
        <f t="shared" si="0"/>
        <v>#REF!</v>
      </c>
      <c r="G26" s="41">
        <f>IFERROR('Areas and paint'!#REF!,0)</f>
        <v>0</v>
      </c>
      <c r="H26" s="45" t="e">
        <f>'Areas and paint'!#REF!*'Areas and paint'!#REF!</f>
        <v>#REF!</v>
      </c>
      <c r="I26" s="45" t="e">
        <f>'Areas and paint'!#REF!*'Areas and paint'!#REF!</f>
        <v>#REF!</v>
      </c>
      <c r="J26" s="94" t="e">
        <f t="shared" si="1"/>
        <v>#REF!</v>
      </c>
      <c r="K26" s="110" t="str">
        <f t="shared" si="2"/>
        <v xml:space="preserve"> </v>
      </c>
      <c r="L26" s="109">
        <f>IFERROR(D26/VLOOKUP($C$46,'Paint Unified'!$C$2:$L$29,10,FALSE),0)</f>
        <v>0</v>
      </c>
      <c r="M26" s="110">
        <f>IFERROR(E26/VLOOKUP(C26,'Paint Unified'!$C$2:$L$29,10,FALSE),0)</f>
        <v>0</v>
      </c>
      <c r="N26" s="132">
        <f t="shared" si="3"/>
        <v>0</v>
      </c>
      <c r="O26" s="127">
        <f>IFERROR(H26/VLOOKUP($C$47,'Paint Unified'!$C$2:$L$29,10,FALSE),0)</f>
        <v>0</v>
      </c>
      <c r="P26" s="122">
        <f>IFERROR(I26/VLOOKUP(G26,'Paint Unified'!$C$2:$L$29,10,FALSE),0)</f>
        <v>0</v>
      </c>
    </row>
    <row r="27" spans="2:16" x14ac:dyDescent="0.2">
      <c r="B27" s="19" t="str">
        <f>IFERROR('Areas and paint'!#REF!," ")</f>
        <v xml:space="preserve"> </v>
      </c>
      <c r="C27" s="28" t="str">
        <f>IFERROR('Areas and paint'!#REF!," ")</f>
        <v xml:space="preserve"> </v>
      </c>
      <c r="D27" s="30" t="e">
        <f>'Areas and paint'!#REF!*'Areas and paint'!#REF!</f>
        <v>#REF!</v>
      </c>
      <c r="E27" s="30" t="e">
        <f>'Areas and paint'!#REF!*'Areas and paint'!#REF!</f>
        <v>#REF!</v>
      </c>
      <c r="F27" s="31" t="e">
        <f t="shared" si="0"/>
        <v>#REF!</v>
      </c>
      <c r="G27" s="41">
        <f>IFERROR('Areas and paint'!#REF!,0)</f>
        <v>0</v>
      </c>
      <c r="H27" s="45" t="e">
        <f>'Areas and paint'!#REF!*'Areas and paint'!#REF!</f>
        <v>#REF!</v>
      </c>
      <c r="I27" s="45" t="e">
        <f>'Areas and paint'!#REF!*'Areas and paint'!#REF!</f>
        <v>#REF!</v>
      </c>
      <c r="J27" s="94" t="e">
        <f t="shared" si="1"/>
        <v>#REF!</v>
      </c>
      <c r="K27" s="110" t="str">
        <f t="shared" si="2"/>
        <v xml:space="preserve"> </v>
      </c>
      <c r="L27" s="109">
        <f>IFERROR(D27/VLOOKUP($C$46,'Paint Unified'!$C$2:$L$29,10,FALSE),0)</f>
        <v>0</v>
      </c>
      <c r="M27" s="110">
        <f>IFERROR(E27/VLOOKUP(C27,'Paint Unified'!$C$2:$L$29,10,FALSE),0)</f>
        <v>0</v>
      </c>
      <c r="N27" s="132">
        <f t="shared" si="3"/>
        <v>0</v>
      </c>
      <c r="O27" s="127">
        <f>IFERROR(H27/VLOOKUP($C$47,'Paint Unified'!$C$2:$L$29,10,FALSE),0)</f>
        <v>0</v>
      </c>
      <c r="P27" s="122">
        <f>IFERROR(I27/VLOOKUP(G27,'Paint Unified'!$C$2:$L$29,10,FALSE),0)</f>
        <v>0</v>
      </c>
    </row>
    <row r="28" spans="2:16" x14ac:dyDescent="0.2">
      <c r="B28" s="19" t="str">
        <f>IFERROR('Areas and paint'!#REF!," ")</f>
        <v xml:space="preserve"> </v>
      </c>
      <c r="C28" s="28" t="str">
        <f>IFERROR('Areas and paint'!#REF!," ")</f>
        <v xml:space="preserve"> </v>
      </c>
      <c r="D28" s="30" t="e">
        <f>'Areas and paint'!#REF!*'Areas and paint'!#REF!</f>
        <v>#REF!</v>
      </c>
      <c r="E28" s="30" t="e">
        <f>'Areas and paint'!#REF!*'Areas and paint'!#REF!</f>
        <v>#REF!</v>
      </c>
      <c r="F28" s="31" t="e">
        <f t="shared" si="0"/>
        <v>#REF!</v>
      </c>
      <c r="G28" s="41">
        <f>IFERROR('Areas and paint'!#REF!,0)</f>
        <v>0</v>
      </c>
      <c r="H28" s="45" t="e">
        <f>'Areas and paint'!#REF!*'Areas and paint'!#REF!</f>
        <v>#REF!</v>
      </c>
      <c r="I28" s="45" t="e">
        <f>'Areas and paint'!#REF!*'Areas and paint'!#REF!</f>
        <v>#REF!</v>
      </c>
      <c r="J28" s="94" t="e">
        <f t="shared" si="1"/>
        <v>#REF!</v>
      </c>
      <c r="K28" s="110" t="str">
        <f t="shared" si="2"/>
        <v xml:space="preserve"> </v>
      </c>
      <c r="L28" s="109">
        <f>IFERROR(D28/VLOOKUP($C$46,'Paint Unified'!$C$2:$L$29,10,FALSE),0)</f>
        <v>0</v>
      </c>
      <c r="M28" s="110">
        <f>IFERROR(E28/VLOOKUP(C28,'Paint Unified'!$C$2:$L$29,10,FALSE),0)</f>
        <v>0</v>
      </c>
      <c r="N28" s="132">
        <f t="shared" si="3"/>
        <v>0</v>
      </c>
      <c r="O28" s="127">
        <f>IFERROR(H28/VLOOKUP($C$47,'Paint Unified'!$C$2:$L$29,10,FALSE),0)</f>
        <v>0</v>
      </c>
      <c r="P28" s="122">
        <f>IFERROR(I28/VLOOKUP(G28,'Paint Unified'!$C$2:$L$29,10,FALSE),0)</f>
        <v>0</v>
      </c>
    </row>
    <row r="29" spans="2:16" x14ac:dyDescent="0.2">
      <c r="B29" s="22" t="str">
        <f>IFERROR('Areas and paint'!#REF!," ")</f>
        <v xml:space="preserve"> </v>
      </c>
      <c r="C29" s="28" t="str">
        <f>IFERROR('Areas and paint'!#REF!," ")</f>
        <v xml:space="preserve"> </v>
      </c>
      <c r="D29" s="30" t="e">
        <f>'Areas and paint'!#REF!*'Areas and paint'!#REF!</f>
        <v>#REF!</v>
      </c>
      <c r="E29" s="30" t="e">
        <f>'Areas and paint'!#REF!*'Areas and paint'!#REF!</f>
        <v>#REF!</v>
      </c>
      <c r="F29" s="31" t="e">
        <f t="shared" si="0"/>
        <v>#REF!</v>
      </c>
      <c r="G29" s="41">
        <f>IFERROR('Areas and paint'!#REF!,0)</f>
        <v>0</v>
      </c>
      <c r="H29" s="45" t="e">
        <f>'Areas and paint'!#REF!*'Areas and paint'!#REF!</f>
        <v>#REF!</v>
      </c>
      <c r="I29" s="45" t="e">
        <f>'Areas and paint'!#REF!*'Areas and paint'!#REF!</f>
        <v>#REF!</v>
      </c>
      <c r="J29" s="94" t="e">
        <f t="shared" si="1"/>
        <v>#REF!</v>
      </c>
      <c r="K29" s="115" t="str">
        <f t="shared" si="2"/>
        <v xml:space="preserve"> </v>
      </c>
      <c r="L29" s="112">
        <f>IFERROR(D29/VLOOKUP($C$46,'Paint Unified'!$C$2:$L$29,10,FALSE),0)</f>
        <v>0</v>
      </c>
      <c r="M29" s="115">
        <f>IFERROR(E29/VLOOKUP(C29,'Paint Unified'!$C$2:$L$29,10,FALSE),0)</f>
        <v>0</v>
      </c>
      <c r="N29" s="132">
        <f t="shared" si="3"/>
        <v>0</v>
      </c>
      <c r="O29" s="127">
        <f>IFERROR(H29/VLOOKUP($C$47,'Paint Unified'!$C$2:$L$29,10,FALSE),0)</f>
        <v>0</v>
      </c>
      <c r="P29" s="122">
        <f>IFERROR(I29/VLOOKUP(G29,'Paint Unified'!$C$2:$L$29,10,FALSE),0)</f>
        <v>0</v>
      </c>
    </row>
    <row r="30" spans="2:16" x14ac:dyDescent="0.2">
      <c r="B30" s="23" t="str">
        <f>IFERROR('Areas and paint'!#REF!," ")</f>
        <v xml:space="preserve"> </v>
      </c>
      <c r="C30" s="35" t="str">
        <f>IFERROR('Areas and paint'!#REF!," ")</f>
        <v xml:space="preserve"> </v>
      </c>
      <c r="D30" s="30" t="e">
        <f>'Areas and paint'!#REF!*'Areas and paint'!#REF!</f>
        <v>#REF!</v>
      </c>
      <c r="E30" s="30" t="e">
        <f>'Areas and paint'!#REF!*'Areas and paint'!#REF!</f>
        <v>#REF!</v>
      </c>
      <c r="F30" s="31" t="e">
        <f t="shared" si="0"/>
        <v>#REF!</v>
      </c>
      <c r="G30" s="44">
        <f>IFERROR('Areas and paint'!#REF!,0)</f>
        <v>0</v>
      </c>
      <c r="H30" s="45" t="e">
        <f>'Areas and paint'!#REF!*'Areas and paint'!#REF!</f>
        <v>#REF!</v>
      </c>
      <c r="I30" s="45" t="e">
        <f>'Areas and paint'!#REF!*'Areas and paint'!#REF!</f>
        <v>#REF!</v>
      </c>
      <c r="J30" s="94" t="e">
        <f t="shared" si="1"/>
        <v>#REF!</v>
      </c>
      <c r="K30" s="115" t="str">
        <f t="shared" si="2"/>
        <v xml:space="preserve"> </v>
      </c>
      <c r="L30" s="112">
        <f>IFERROR(D30/VLOOKUP($C$46,'Paint Unified'!$C$2:$L$29,10,FALSE),0)</f>
        <v>0</v>
      </c>
      <c r="M30" s="115">
        <f>IFERROR(E30/VLOOKUP(C30,'Paint Unified'!$C$2:$L$29,10,FALSE),0)</f>
        <v>0</v>
      </c>
      <c r="N30" s="132">
        <f t="shared" si="3"/>
        <v>0</v>
      </c>
      <c r="O30" s="127">
        <f>IFERROR(H30/VLOOKUP($C$47,'Paint Unified'!$C$2:$L$29,10,FALSE),0)</f>
        <v>0</v>
      </c>
      <c r="P30" s="122">
        <f>IFERROR(I30/VLOOKUP(G30,'Paint Unified'!$C$2:$L$29,10,FALSE),0)</f>
        <v>0</v>
      </c>
    </row>
    <row r="31" spans="2:16" x14ac:dyDescent="0.2">
      <c r="B31" s="19" t="str">
        <f>IFERROR('Areas and paint'!#REF!," ")</f>
        <v xml:space="preserve"> </v>
      </c>
      <c r="C31" s="28" t="str">
        <f>IFERROR('Areas and paint'!#REF!," ")</f>
        <v xml:space="preserve"> </v>
      </c>
      <c r="D31" s="30" t="e">
        <f>'Areas and paint'!#REF!*'Areas and paint'!#REF!</f>
        <v>#REF!</v>
      </c>
      <c r="E31" s="30" t="e">
        <f>'Areas and paint'!#REF!*'Areas and paint'!#REF!</f>
        <v>#REF!</v>
      </c>
      <c r="F31" s="31" t="e">
        <f t="shared" si="0"/>
        <v>#REF!</v>
      </c>
      <c r="G31" s="41">
        <f>IFERROR('Areas and paint'!#REF!,0)</f>
        <v>0</v>
      </c>
      <c r="H31" s="45" t="e">
        <f>'Areas and paint'!#REF!*'Areas and paint'!#REF!</f>
        <v>#REF!</v>
      </c>
      <c r="I31" s="45" t="e">
        <f>'Areas and paint'!#REF!*'Areas and paint'!#REF!</f>
        <v>#REF!</v>
      </c>
      <c r="J31" s="94" t="e">
        <f t="shared" si="1"/>
        <v>#REF!</v>
      </c>
      <c r="K31" s="115" t="str">
        <f t="shared" si="2"/>
        <v xml:space="preserve"> </v>
      </c>
      <c r="L31" s="112">
        <f>IFERROR(D31/VLOOKUP($C$46,'Paint Unified'!$C$2:$L$29,10,FALSE),0)</f>
        <v>0</v>
      </c>
      <c r="M31" s="115">
        <f>IFERROR(E31/VLOOKUP(C31,'Paint Unified'!$C$2:$L$29,10,FALSE),0)</f>
        <v>0</v>
      </c>
      <c r="N31" s="132">
        <f t="shared" si="3"/>
        <v>0</v>
      </c>
      <c r="O31" s="127">
        <f>IFERROR(H31/VLOOKUP($C$47,'Paint Unified'!$C$2:$L$29,10,FALSE),0)</f>
        <v>0</v>
      </c>
      <c r="P31" s="122">
        <f>IFERROR(I31/VLOOKUP(G31,'Paint Unified'!$C$2:$L$29,10,FALSE),0)</f>
        <v>0</v>
      </c>
    </row>
    <row r="32" spans="2:16" x14ac:dyDescent="0.2">
      <c r="B32" s="19" t="str">
        <f>IFERROR('Areas and paint'!#REF!," ")</f>
        <v xml:space="preserve"> </v>
      </c>
      <c r="C32" s="28" t="str">
        <f>IFERROR('Areas and paint'!#REF!," ")</f>
        <v xml:space="preserve"> </v>
      </c>
      <c r="D32" s="30" t="e">
        <f>'Areas and paint'!#REF!*'Areas and paint'!#REF!</f>
        <v>#REF!</v>
      </c>
      <c r="E32" s="30" t="e">
        <f>'Areas and paint'!#REF!*'Areas and paint'!#REF!</f>
        <v>#REF!</v>
      </c>
      <c r="F32" s="31" t="e">
        <f t="shared" si="0"/>
        <v>#REF!</v>
      </c>
      <c r="G32" s="41">
        <f>IFERROR('Areas and paint'!#REF!,0)</f>
        <v>0</v>
      </c>
      <c r="H32" s="45" t="e">
        <f>'Areas and paint'!#REF!*'Areas and paint'!#REF!</f>
        <v>#REF!</v>
      </c>
      <c r="I32" s="45" t="e">
        <f>'Areas and paint'!#REF!*'Areas and paint'!#REF!</f>
        <v>#REF!</v>
      </c>
      <c r="J32" s="94" t="e">
        <f t="shared" si="1"/>
        <v>#REF!</v>
      </c>
      <c r="K32" s="110" t="str">
        <f t="shared" si="2"/>
        <v xml:space="preserve"> </v>
      </c>
      <c r="L32" s="109">
        <f>IFERROR(D32/VLOOKUP($C$46,'Paint Unified'!$C$2:$L$29,10,FALSE),0)</f>
        <v>0</v>
      </c>
      <c r="M32" s="110">
        <f>IFERROR(E32/VLOOKUP(C32,'Paint Unified'!$C$2:$L$29,10,FALSE),0)</f>
        <v>0</v>
      </c>
      <c r="N32" s="132">
        <f t="shared" si="3"/>
        <v>0</v>
      </c>
      <c r="O32" s="127">
        <f>IFERROR(H32/VLOOKUP($C$47,'Paint Unified'!$C$2:$L$29,10,FALSE),0)</f>
        <v>0</v>
      </c>
      <c r="P32" s="122">
        <f>IFERROR(I32/VLOOKUP(G32,'Paint Unified'!$C$2:$L$29,10,FALSE),0)</f>
        <v>0</v>
      </c>
    </row>
    <row r="33" spans="2:16" x14ac:dyDescent="0.2">
      <c r="B33" s="19" t="str">
        <f>IFERROR('Areas and paint'!#REF!," ")</f>
        <v xml:space="preserve"> </v>
      </c>
      <c r="C33" s="28" t="str">
        <f>IFERROR('Areas and paint'!#REF!," ")</f>
        <v xml:space="preserve"> </v>
      </c>
      <c r="D33" s="30" t="e">
        <f>'Areas and paint'!#REF!*'Areas and paint'!#REF!</f>
        <v>#REF!</v>
      </c>
      <c r="E33" s="30" t="e">
        <f>'Areas and paint'!#REF!*'Areas and paint'!#REF!</f>
        <v>#REF!</v>
      </c>
      <c r="F33" s="31" t="e">
        <f t="shared" si="0"/>
        <v>#REF!</v>
      </c>
      <c r="G33" s="41">
        <f>IFERROR('Areas and paint'!#REF!,0)</f>
        <v>0</v>
      </c>
      <c r="H33" s="45" t="e">
        <f>'Areas and paint'!#REF!*'Areas and paint'!#REF!</f>
        <v>#REF!</v>
      </c>
      <c r="I33" s="45" t="e">
        <f>'Areas and paint'!#REF!*'Areas and paint'!#REF!</f>
        <v>#REF!</v>
      </c>
      <c r="J33" s="94" t="e">
        <f t="shared" si="1"/>
        <v>#REF!</v>
      </c>
      <c r="K33" s="110" t="str">
        <f t="shared" si="2"/>
        <v xml:space="preserve"> </v>
      </c>
      <c r="L33" s="109">
        <f>IFERROR(D33/VLOOKUP($C$46,'Paint Unified'!$C$2:$L$29,10,FALSE),0)</f>
        <v>0</v>
      </c>
      <c r="M33" s="110">
        <f>IFERROR(E33/VLOOKUP(C33,'Paint Unified'!$C$2:$L$29,10,FALSE),0)</f>
        <v>0</v>
      </c>
      <c r="N33" s="132">
        <f t="shared" si="3"/>
        <v>0</v>
      </c>
      <c r="O33" s="127">
        <f>IFERROR(H33/VLOOKUP($C$47,'Paint Unified'!$C$2:$L$29,10,FALSE),0)</f>
        <v>0</v>
      </c>
      <c r="P33" s="122">
        <f>IFERROR(I33/VLOOKUP(G33,'Paint Unified'!$C$2:$L$29,10,FALSE),0)</f>
        <v>0</v>
      </c>
    </row>
    <row r="34" spans="2:16" x14ac:dyDescent="0.2">
      <c r="B34" s="19" t="str">
        <f>IFERROR('Areas and paint'!#REF!," ")</f>
        <v xml:space="preserve"> </v>
      </c>
      <c r="C34" s="28" t="str">
        <f>IFERROR('Areas and paint'!#REF!," ")</f>
        <v xml:space="preserve"> </v>
      </c>
      <c r="D34" s="30" t="e">
        <f>'Areas and paint'!#REF!*'Areas and paint'!#REF!</f>
        <v>#REF!</v>
      </c>
      <c r="E34" s="30" t="e">
        <f>'Areas and paint'!#REF!*'Areas and paint'!#REF!</f>
        <v>#REF!</v>
      </c>
      <c r="F34" s="31" t="e">
        <f t="shared" si="0"/>
        <v>#REF!</v>
      </c>
      <c r="G34" s="41">
        <f>IFERROR('Areas and paint'!#REF!,0)</f>
        <v>0</v>
      </c>
      <c r="H34" s="45" t="e">
        <f>'Areas and paint'!#REF!*'Areas and paint'!#REF!</f>
        <v>#REF!</v>
      </c>
      <c r="I34" s="45" t="e">
        <f>'Areas and paint'!#REF!*'Areas and paint'!#REF!</f>
        <v>#REF!</v>
      </c>
      <c r="J34" s="94" t="e">
        <f t="shared" si="1"/>
        <v>#REF!</v>
      </c>
      <c r="K34" s="110" t="str">
        <f t="shared" si="2"/>
        <v xml:space="preserve"> </v>
      </c>
      <c r="L34" s="109">
        <f>IFERROR(D34/VLOOKUP($C$46,'Paint Unified'!$C$2:$L$29,10,FALSE),0)</f>
        <v>0</v>
      </c>
      <c r="M34" s="110">
        <f>IFERROR(E34/VLOOKUP(C34,'Paint Unified'!$C$2:$L$29,10,FALSE),0)</f>
        <v>0</v>
      </c>
      <c r="N34" s="132">
        <f t="shared" si="3"/>
        <v>0</v>
      </c>
      <c r="O34" s="127">
        <f>IFERROR(H34/VLOOKUP($C$47,'Paint Unified'!$C$2:$L$29,10,FALSE),0)</f>
        <v>0</v>
      </c>
      <c r="P34" s="122">
        <f>IFERROR(I34/VLOOKUP(G34,'Paint Unified'!$C$2:$L$29,10,FALSE),0)</f>
        <v>0</v>
      </c>
    </row>
    <row r="35" spans="2:16" x14ac:dyDescent="0.2">
      <c r="B35" s="19" t="str">
        <f>IFERROR('Areas and paint'!#REF!," ")</f>
        <v xml:space="preserve"> </v>
      </c>
      <c r="C35" s="28" t="str">
        <f>IFERROR('Areas and paint'!#REF!," ")</f>
        <v xml:space="preserve"> </v>
      </c>
      <c r="D35" s="30" t="e">
        <f>'Areas and paint'!#REF!*'Areas and paint'!#REF!</f>
        <v>#REF!</v>
      </c>
      <c r="E35" s="30" t="e">
        <f>'Areas and paint'!#REF!*'Areas and paint'!#REF!</f>
        <v>#REF!</v>
      </c>
      <c r="F35" s="31" t="e">
        <f t="shared" ref="F35:F41" si="4">D35+E35</f>
        <v>#REF!</v>
      </c>
      <c r="G35" s="41">
        <f>IFERROR('Areas and paint'!#REF!,0)</f>
        <v>0</v>
      </c>
      <c r="H35" s="45" t="e">
        <f>'Areas and paint'!#REF!*'Areas and paint'!#REF!</f>
        <v>#REF!</v>
      </c>
      <c r="I35" s="45" t="e">
        <f>'Areas and paint'!#REF!*'Areas and paint'!#REF!</f>
        <v>#REF!</v>
      </c>
      <c r="J35" s="94" t="e">
        <f t="shared" ref="J35:J41" si="5">H35+I35</f>
        <v>#REF!</v>
      </c>
      <c r="K35" s="110" t="str">
        <f t="shared" ref="K35:K41" si="6">C35</f>
        <v xml:space="preserve"> </v>
      </c>
      <c r="L35" s="109">
        <f>IFERROR(D35/VLOOKUP($C$46,'Paint Unified'!$C$2:$L$29,10,FALSE),0)</f>
        <v>0</v>
      </c>
      <c r="M35" s="110">
        <f>IFERROR(E35/VLOOKUP(C35,'Paint Unified'!$C$2:$L$29,10,FALSE),0)</f>
        <v>0</v>
      </c>
      <c r="N35" s="132">
        <f t="shared" ref="N35:N41" si="7">G35</f>
        <v>0</v>
      </c>
      <c r="O35" s="127">
        <f>IFERROR(H35/VLOOKUP($C$47,'Paint Unified'!$C$2:$L$29,10,FALSE),0)</f>
        <v>0</v>
      </c>
      <c r="P35" s="122">
        <f>IFERROR(I35/VLOOKUP(G35,'Paint Unified'!$C$2:$L$29,10,FALSE),0)</f>
        <v>0</v>
      </c>
    </row>
    <row r="36" spans="2:16" x14ac:dyDescent="0.2">
      <c r="B36" s="19" t="str">
        <f>IFERROR('Areas and paint'!#REF!," ")</f>
        <v xml:space="preserve"> </v>
      </c>
      <c r="C36" s="28" t="str">
        <f>IFERROR('Areas and paint'!#REF!," ")</f>
        <v xml:space="preserve"> </v>
      </c>
      <c r="D36" s="30" t="e">
        <f>'Areas and paint'!#REF!*'Areas and paint'!#REF!</f>
        <v>#REF!</v>
      </c>
      <c r="E36" s="30" t="e">
        <f>'Areas and paint'!#REF!*'Areas and paint'!#REF!</f>
        <v>#REF!</v>
      </c>
      <c r="F36" s="31" t="e">
        <f t="shared" si="4"/>
        <v>#REF!</v>
      </c>
      <c r="G36" s="41">
        <f>IFERROR('Areas and paint'!#REF!,0)</f>
        <v>0</v>
      </c>
      <c r="H36" s="45" t="e">
        <f>'Areas and paint'!#REF!*'Areas and paint'!#REF!</f>
        <v>#REF!</v>
      </c>
      <c r="I36" s="45" t="e">
        <f>'Areas and paint'!#REF!*'Areas and paint'!#REF!</f>
        <v>#REF!</v>
      </c>
      <c r="J36" s="94" t="e">
        <f t="shared" si="5"/>
        <v>#REF!</v>
      </c>
      <c r="K36" s="110" t="str">
        <f t="shared" si="6"/>
        <v xml:space="preserve"> </v>
      </c>
      <c r="L36" s="109">
        <f>IFERROR(D36/VLOOKUP($C$46,'Paint Unified'!$C$2:$L$29,10,FALSE),0)</f>
        <v>0</v>
      </c>
      <c r="M36" s="110">
        <f>IFERROR(E36/VLOOKUP(C36,'Paint Unified'!$C$2:$L$29,10,FALSE),0)</f>
        <v>0</v>
      </c>
      <c r="N36" s="132">
        <f t="shared" si="7"/>
        <v>0</v>
      </c>
      <c r="O36" s="127">
        <f>IFERROR(H36/VLOOKUP($C$47,'Paint Unified'!$C$2:$L$29,10,FALSE),0)</f>
        <v>0</v>
      </c>
      <c r="P36" s="122">
        <f>IFERROR(I36/VLOOKUP(G36,'Paint Unified'!$C$2:$L$29,10,FALSE),0)</f>
        <v>0</v>
      </c>
    </row>
    <row r="37" spans="2:16" x14ac:dyDescent="0.2">
      <c r="B37" s="19" t="str">
        <f>IFERROR('Areas and paint'!#REF!," ")</f>
        <v xml:space="preserve"> </v>
      </c>
      <c r="C37" s="28" t="str">
        <f>IFERROR('Areas and paint'!#REF!," ")</f>
        <v xml:space="preserve"> </v>
      </c>
      <c r="D37" s="30" t="e">
        <f>'Areas and paint'!#REF!*'Areas and paint'!#REF!</f>
        <v>#REF!</v>
      </c>
      <c r="E37" s="30" t="e">
        <f>'Areas and paint'!#REF!*'Areas and paint'!#REF!</f>
        <v>#REF!</v>
      </c>
      <c r="F37" s="31" t="e">
        <f t="shared" si="4"/>
        <v>#REF!</v>
      </c>
      <c r="G37" s="41">
        <f>IFERROR('Areas and paint'!#REF!,0)</f>
        <v>0</v>
      </c>
      <c r="H37" s="45" t="e">
        <f>'Areas and paint'!#REF!*'Areas and paint'!#REF!</f>
        <v>#REF!</v>
      </c>
      <c r="I37" s="45" t="e">
        <f>'Areas and paint'!#REF!*'Areas and paint'!#REF!</f>
        <v>#REF!</v>
      </c>
      <c r="J37" s="94" t="e">
        <f t="shared" si="5"/>
        <v>#REF!</v>
      </c>
      <c r="K37" s="110" t="str">
        <f t="shared" si="6"/>
        <v xml:space="preserve"> </v>
      </c>
      <c r="L37" s="109">
        <f>IFERROR(D37/VLOOKUP($C$46,'Paint Unified'!$C$2:$L$29,10,FALSE),0)</f>
        <v>0</v>
      </c>
      <c r="M37" s="110">
        <f>IFERROR(E37/VLOOKUP(C37,'Paint Unified'!$C$2:$L$29,10,FALSE),0)</f>
        <v>0</v>
      </c>
      <c r="N37" s="132">
        <f t="shared" si="7"/>
        <v>0</v>
      </c>
      <c r="O37" s="127">
        <f>IFERROR(H37/VLOOKUP($C$47,'Paint Unified'!$C$2:$L$29,10,FALSE),0)</f>
        <v>0</v>
      </c>
      <c r="P37" s="122">
        <f>IFERROR(I37/VLOOKUP(G37,'Paint Unified'!$C$2:$L$29,10,FALSE),0)</f>
        <v>0</v>
      </c>
    </row>
    <row r="38" spans="2:16" x14ac:dyDescent="0.2">
      <c r="B38" s="19" t="str">
        <f>IFERROR('Areas and paint'!#REF!," ")</f>
        <v xml:space="preserve"> </v>
      </c>
      <c r="C38" s="28" t="str">
        <f>IFERROR('Areas and paint'!#REF!," ")</f>
        <v xml:space="preserve"> </v>
      </c>
      <c r="D38" s="30" t="e">
        <f>'Areas and paint'!#REF!*'Areas and paint'!#REF!</f>
        <v>#REF!</v>
      </c>
      <c r="E38" s="30" t="e">
        <f>'Areas and paint'!#REF!*'Areas and paint'!#REF!</f>
        <v>#REF!</v>
      </c>
      <c r="F38" s="31" t="e">
        <f t="shared" si="4"/>
        <v>#REF!</v>
      </c>
      <c r="G38" s="41">
        <f>IFERROR('Areas and paint'!#REF!,0)</f>
        <v>0</v>
      </c>
      <c r="H38" s="45" t="e">
        <f>'Areas and paint'!#REF!*'Areas and paint'!#REF!</f>
        <v>#REF!</v>
      </c>
      <c r="I38" s="45" t="e">
        <f>'Areas and paint'!#REF!*'Areas and paint'!#REF!</f>
        <v>#REF!</v>
      </c>
      <c r="J38" s="94" t="e">
        <f t="shared" si="5"/>
        <v>#REF!</v>
      </c>
      <c r="K38" s="110" t="str">
        <f t="shared" si="6"/>
        <v xml:space="preserve"> </v>
      </c>
      <c r="L38" s="109">
        <f>IFERROR(D38/VLOOKUP($C$46,'Paint Unified'!$C$2:$L$29,10,FALSE),0)</f>
        <v>0</v>
      </c>
      <c r="M38" s="110">
        <f>IFERROR(E38/VLOOKUP(C38,'Paint Unified'!$C$2:$L$29,10,FALSE),0)</f>
        <v>0</v>
      </c>
      <c r="N38" s="132">
        <f t="shared" si="7"/>
        <v>0</v>
      </c>
      <c r="O38" s="127">
        <f>IFERROR(H38/VLOOKUP($C$47,'Paint Unified'!$C$2:$L$29,10,FALSE),0)</f>
        <v>0</v>
      </c>
      <c r="P38" s="122">
        <f>IFERROR(I38/VLOOKUP(G38,'Paint Unified'!$C$2:$L$29,10,FALSE),0)</f>
        <v>0</v>
      </c>
    </row>
    <row r="39" spans="2:16" x14ac:dyDescent="0.2">
      <c r="B39" s="19" t="str">
        <f>IFERROR('Areas and paint'!#REF!," ")</f>
        <v xml:space="preserve"> </v>
      </c>
      <c r="C39" s="28" t="str">
        <f>IFERROR('Areas and paint'!#REF!," ")</f>
        <v xml:space="preserve"> </v>
      </c>
      <c r="D39" s="30" t="e">
        <f>'Areas and paint'!#REF!*'Areas and paint'!#REF!</f>
        <v>#REF!</v>
      </c>
      <c r="E39" s="30" t="e">
        <f>'Areas and paint'!#REF!*'Areas and paint'!#REF!</f>
        <v>#REF!</v>
      </c>
      <c r="F39" s="31" t="e">
        <f t="shared" si="4"/>
        <v>#REF!</v>
      </c>
      <c r="G39" s="41">
        <f>IFERROR('Areas and paint'!#REF!,0)</f>
        <v>0</v>
      </c>
      <c r="H39" s="45" t="e">
        <f>'Areas and paint'!#REF!*'Areas and paint'!#REF!</f>
        <v>#REF!</v>
      </c>
      <c r="I39" s="45" t="e">
        <f>'Areas and paint'!#REF!*'Areas and paint'!#REF!</f>
        <v>#REF!</v>
      </c>
      <c r="J39" s="94" t="e">
        <f t="shared" si="5"/>
        <v>#REF!</v>
      </c>
      <c r="K39" s="110" t="str">
        <f t="shared" si="6"/>
        <v xml:space="preserve"> </v>
      </c>
      <c r="L39" s="109">
        <f>IFERROR(D39/VLOOKUP($C$46,'Paint Unified'!$C$2:$L$29,10,FALSE),0)</f>
        <v>0</v>
      </c>
      <c r="M39" s="110">
        <f>IFERROR(E39/VLOOKUP(C39,'Paint Unified'!$C$2:$L$29,10,FALSE),0)</f>
        <v>0</v>
      </c>
      <c r="N39" s="132">
        <f t="shared" si="7"/>
        <v>0</v>
      </c>
      <c r="O39" s="127">
        <f>IFERROR(H39/VLOOKUP($C$47,'Paint Unified'!$C$2:$L$29,10,FALSE),0)</f>
        <v>0</v>
      </c>
      <c r="P39" s="122">
        <f>IFERROR(I39/VLOOKUP(G39,'Paint Unified'!$C$2:$L$29,10,FALSE),0)</f>
        <v>0</v>
      </c>
    </row>
    <row r="40" spans="2:16" x14ac:dyDescent="0.2">
      <c r="B40" s="19" t="str">
        <f>IFERROR('Areas and paint'!#REF!," ")</f>
        <v xml:space="preserve"> </v>
      </c>
      <c r="C40" s="28" t="str">
        <f>IFERROR('Areas and paint'!#REF!," ")</f>
        <v xml:space="preserve"> </v>
      </c>
      <c r="D40" s="30" t="e">
        <f>'Areas and paint'!#REF!*'Areas and paint'!#REF!</f>
        <v>#REF!</v>
      </c>
      <c r="E40" s="30" t="e">
        <f>'Areas and paint'!#REF!*'Areas and paint'!#REF!</f>
        <v>#REF!</v>
      </c>
      <c r="F40" s="31" t="e">
        <f t="shared" si="4"/>
        <v>#REF!</v>
      </c>
      <c r="G40" s="41">
        <f>IFERROR('Areas and paint'!#REF!,0)</f>
        <v>0</v>
      </c>
      <c r="H40" s="45" t="e">
        <f>'Areas and paint'!#REF!*'Areas and paint'!#REF!</f>
        <v>#REF!</v>
      </c>
      <c r="I40" s="45" t="e">
        <f>'Areas and paint'!#REF!*'Areas and paint'!#REF!</f>
        <v>#REF!</v>
      </c>
      <c r="J40" s="94" t="e">
        <f t="shared" si="5"/>
        <v>#REF!</v>
      </c>
      <c r="K40" s="110" t="str">
        <f t="shared" si="6"/>
        <v xml:space="preserve"> </v>
      </c>
      <c r="L40" s="109">
        <f>IFERROR(D40/VLOOKUP($C$46,'Paint Unified'!$C$2:$L$29,10,FALSE),0)</f>
        <v>0</v>
      </c>
      <c r="M40" s="110">
        <f>IFERROR(E40/VLOOKUP(C40,'Paint Unified'!$C$2:$L$29,10,FALSE),0)</f>
        <v>0</v>
      </c>
      <c r="N40" s="132">
        <f t="shared" si="7"/>
        <v>0</v>
      </c>
      <c r="O40" s="127">
        <f>IFERROR(H40/VLOOKUP($C$47,'Paint Unified'!$C$2:$L$29,10,FALSE),0)</f>
        <v>0</v>
      </c>
      <c r="P40" s="122">
        <f>IFERROR(I40/VLOOKUP(G40,'Paint Unified'!$C$2:$L$29,10,FALSE),0)</f>
        <v>0</v>
      </c>
    </row>
    <row r="41" spans="2:16" x14ac:dyDescent="0.2">
      <c r="B41" s="19" t="str">
        <f>IFERROR('Areas and paint'!#REF!," ")</f>
        <v xml:space="preserve"> </v>
      </c>
      <c r="C41" s="28" t="str">
        <f>IFERROR('Areas and paint'!#REF!," ")</f>
        <v xml:space="preserve"> </v>
      </c>
      <c r="D41" s="30" t="e">
        <f>'Areas and paint'!#REF!*'Areas and paint'!#REF!</f>
        <v>#REF!</v>
      </c>
      <c r="E41" s="30" t="e">
        <f>'Areas and paint'!#REF!*'Areas and paint'!#REF!</f>
        <v>#REF!</v>
      </c>
      <c r="F41" s="31" t="e">
        <f t="shared" si="4"/>
        <v>#REF!</v>
      </c>
      <c r="G41" s="41">
        <f>IFERROR('Areas and paint'!#REF!,0)</f>
        <v>0</v>
      </c>
      <c r="H41" s="45" t="e">
        <f>'Areas and paint'!#REF!*'Areas and paint'!#REF!</f>
        <v>#REF!</v>
      </c>
      <c r="I41" s="45" t="e">
        <f>'Areas and paint'!#REF!*'Areas and paint'!#REF!</f>
        <v>#REF!</v>
      </c>
      <c r="J41" s="94" t="e">
        <f t="shared" si="5"/>
        <v>#REF!</v>
      </c>
      <c r="K41" s="110" t="str">
        <f t="shared" si="6"/>
        <v xml:space="preserve"> </v>
      </c>
      <c r="L41" s="109">
        <f>IFERROR(D41/VLOOKUP($C$46,'Paint Unified'!$C$2:$L$29,10,FALSE),0)</f>
        <v>0</v>
      </c>
      <c r="M41" s="110">
        <f>IFERROR(E41/VLOOKUP(C41,'Paint Unified'!$C$2:$L$29,10,FALSE),0)</f>
        <v>0</v>
      </c>
      <c r="N41" s="132">
        <f t="shared" si="7"/>
        <v>0</v>
      </c>
      <c r="O41" s="127">
        <f>IFERROR(H41/VLOOKUP($C$47,'Paint Unified'!$C$2:$L$29,10,FALSE),0)</f>
        <v>0</v>
      </c>
      <c r="P41" s="122">
        <f>IFERROR(I41/VLOOKUP(G41,'Paint Unified'!$C$2:$L$29,10,FALSE),0)</f>
        <v>0</v>
      </c>
    </row>
    <row r="42" spans="2:16" x14ac:dyDescent="0.2">
      <c r="B42" s="19" t="str">
        <f>IFERROR('Areas and paint'!#REF!," ")</f>
        <v xml:space="preserve"> </v>
      </c>
      <c r="C42" s="28" t="str">
        <f>IFERROR('Areas and paint'!#REF!," ")</f>
        <v xml:space="preserve"> </v>
      </c>
      <c r="D42" s="30" t="e">
        <f>'Areas and paint'!#REF!*'Areas and paint'!#REF!</f>
        <v>#REF!</v>
      </c>
      <c r="E42" s="30" t="e">
        <f>'Areas and paint'!#REF!*'Areas and paint'!#REF!</f>
        <v>#REF!</v>
      </c>
      <c r="F42" s="31" t="e">
        <f t="shared" si="0"/>
        <v>#REF!</v>
      </c>
      <c r="G42" s="41">
        <f>IFERROR('Areas and paint'!#REF!,0)</f>
        <v>0</v>
      </c>
      <c r="H42" s="45" t="e">
        <f>'Areas and paint'!#REF!*'Areas and paint'!#REF!</f>
        <v>#REF!</v>
      </c>
      <c r="I42" s="45" t="e">
        <f>'Areas and paint'!#REF!*'Areas and paint'!#REF!</f>
        <v>#REF!</v>
      </c>
      <c r="J42" s="94" t="e">
        <f t="shared" si="1"/>
        <v>#REF!</v>
      </c>
      <c r="K42" s="110" t="str">
        <f t="shared" si="2"/>
        <v xml:space="preserve"> </v>
      </c>
      <c r="L42" s="109">
        <f>IFERROR(D42/VLOOKUP($C$46,'Paint Unified'!$C$2:$L$29,10,FALSE),0)</f>
        <v>0</v>
      </c>
      <c r="M42" s="110">
        <f>IFERROR(E42/VLOOKUP(C42,'Paint Unified'!$C$2:$L$29,10,FALSE),0)</f>
        <v>0</v>
      </c>
      <c r="N42" s="132">
        <f t="shared" si="3"/>
        <v>0</v>
      </c>
      <c r="O42" s="127">
        <f>IFERROR(H42/VLOOKUP($C$47,'Paint Unified'!$C$2:$L$29,10,FALSE),0)</f>
        <v>0</v>
      </c>
      <c r="P42" s="122">
        <f>IFERROR(I42/VLOOKUP(G42,'Paint Unified'!$C$2:$L$29,10,FALSE),0)</f>
        <v>0</v>
      </c>
    </row>
    <row r="43" spans="2:16" ht="16" thickBot="1" x14ac:dyDescent="0.25">
      <c r="B43" s="24" t="str">
        <f>IFERROR('Areas and paint'!#REF!," ")</f>
        <v xml:space="preserve"> </v>
      </c>
      <c r="C43" s="36" t="str">
        <f>IFERROR('Areas and paint'!#REF!," ")</f>
        <v xml:space="preserve"> </v>
      </c>
      <c r="D43" s="37" t="e">
        <f>'Areas and paint'!#REF!*'Areas and paint'!#REF!</f>
        <v>#REF!</v>
      </c>
      <c r="E43" s="37" t="e">
        <f>'Areas and paint'!#REF!*'Areas and paint'!#REF!</f>
        <v>#REF!</v>
      </c>
      <c r="F43" s="38" t="e">
        <f t="shared" si="0"/>
        <v>#REF!</v>
      </c>
      <c r="G43" s="46">
        <f>IFERROR('Areas and paint'!#REF!,0)</f>
        <v>0</v>
      </c>
      <c r="H43" s="47" t="e">
        <f>'Areas and paint'!#REF!*'Areas and paint'!#REF!</f>
        <v>#REF!</v>
      </c>
      <c r="I43" s="47" t="e">
        <f>'Areas and paint'!#REF!*'Areas and paint'!#REF!</f>
        <v>#REF!</v>
      </c>
      <c r="J43" s="99" t="e">
        <f t="shared" si="1"/>
        <v>#REF!</v>
      </c>
      <c r="K43" s="116" t="str">
        <f t="shared" si="2"/>
        <v xml:space="preserve"> </v>
      </c>
      <c r="L43" s="113">
        <f>IFERROR(D43/VLOOKUP($C$46,'Paint Unified'!$C$2:$L$29,10,FALSE),0)</f>
        <v>0</v>
      </c>
      <c r="M43" s="116">
        <f>IFERROR(E43/VLOOKUP(C43,'Paint Unified'!$C$2:$L$29,10,FALSE),0)</f>
        <v>0</v>
      </c>
      <c r="N43" s="135">
        <f t="shared" si="3"/>
        <v>0</v>
      </c>
      <c r="O43" s="130">
        <f>IFERROR(H43/VLOOKUP($C$47,'Paint Unified'!$C$2:$L$29,10,FALSE),0)</f>
        <v>0</v>
      </c>
      <c r="P43" s="125">
        <f>IFERROR(I43/VLOOKUP(G43,'Paint Unified'!$C$2:$L$29,10,FALSE),0)</f>
        <v>0</v>
      </c>
    </row>
    <row r="44" spans="2:16" x14ac:dyDescent="0.2">
      <c r="L44" s="119">
        <f>SUM(L5:L43)</f>
        <v>4.74</v>
      </c>
      <c r="O44" s="119">
        <f>SUM(O5:O43)</f>
        <v>0.28999999999999998</v>
      </c>
    </row>
    <row r="45" spans="2:16" ht="19" x14ac:dyDescent="0.25">
      <c r="C45" s="101" t="s">
        <v>88</v>
      </c>
      <c r="D45" s="101" t="s">
        <v>89</v>
      </c>
      <c r="E45" s="101" t="s">
        <v>112</v>
      </c>
      <c r="F45" s="101" t="s">
        <v>113</v>
      </c>
    </row>
    <row r="46" spans="2:16" x14ac:dyDescent="0.2">
      <c r="B46" s="100" t="str">
        <f>'Areas and paint'!B21</f>
        <v>General Priming wall</v>
      </c>
      <c r="C46" s="100" t="str">
        <f>'Areas and paint'!C21</f>
        <v xml:space="preserve">Step One Primer - White </v>
      </c>
      <c r="D46" s="121">
        <f>VLOOKUP(C46,'Paint Unified'!$C$2:$L$29,9,FALSE)</f>
        <v>29.177043524999998</v>
      </c>
      <c r="E46" s="138">
        <f>ROUNDUP(L44,0)</f>
        <v>5</v>
      </c>
      <c r="F46" s="9">
        <f>E46*D46</f>
        <v>145.885217625</v>
      </c>
    </row>
    <row r="47" spans="2:16" x14ac:dyDescent="0.2">
      <c r="B47" s="100" t="str">
        <f>'Areas and paint'!B22</f>
        <v>General Priming Ceiling</v>
      </c>
      <c r="C47" s="100" t="str">
        <f>'Areas and paint'!C22</f>
        <v xml:space="preserve">Step One Primer - White </v>
      </c>
      <c r="D47" s="121">
        <f>VLOOKUP(C47,'Paint Unified'!$C$2:$L$29,9,FALSE)</f>
        <v>29.177043524999998</v>
      </c>
      <c r="E47" s="138">
        <f>ROUNDUP(O44,0)</f>
        <v>1</v>
      </c>
      <c r="F47" s="9">
        <f>E47*D47</f>
        <v>29.177043524999998</v>
      </c>
    </row>
    <row r="48" spans="2:16" x14ac:dyDescent="0.2">
      <c r="B48" s="3"/>
      <c r="C48" s="3"/>
      <c r="D48" s="1"/>
    </row>
    <row r="49" spans="2:11" x14ac:dyDescent="0.2">
      <c r="B49" s="3"/>
      <c r="C49" s="3"/>
      <c r="D49" s="1"/>
    </row>
    <row r="50" spans="2:11" x14ac:dyDescent="0.2">
      <c r="B50" s="327"/>
      <c r="C50" s="327"/>
      <c r="D50" s="327"/>
      <c r="E50" s="327"/>
      <c r="H50" s="327"/>
      <c r="I50" s="327"/>
      <c r="J50" s="327"/>
      <c r="K50" s="327"/>
    </row>
    <row r="72" spans="5:5" ht="16" x14ac:dyDescent="0.2">
      <c r="E72" s="137"/>
    </row>
  </sheetData>
  <mergeCells count="7">
    <mergeCell ref="N3:P3"/>
    <mergeCell ref="K3:M3"/>
    <mergeCell ref="B50:E50"/>
    <mergeCell ref="H50:K50"/>
    <mergeCell ref="C2:J2"/>
    <mergeCell ref="C3:F3"/>
    <mergeCell ref="G3:J3"/>
  </mergeCells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8F7E2-631A-4EE2-A698-D51CC0C5C389}">
  <sheetPr codeName="Sheet5"/>
  <dimension ref="B2:L22"/>
  <sheetViews>
    <sheetView workbookViewId="0">
      <selection activeCell="H22" sqref="H22"/>
    </sheetView>
  </sheetViews>
  <sheetFormatPr baseColWidth="10" defaultColWidth="8.83203125" defaultRowHeight="15" x14ac:dyDescent="0.2"/>
  <cols>
    <col min="2" max="2" width="30.83203125" customWidth="1"/>
    <col min="3" max="3" width="11.33203125" bestFit="1" customWidth="1"/>
    <col min="6" max="6" width="21" bestFit="1" customWidth="1"/>
    <col min="8" max="8" width="42" customWidth="1"/>
    <col min="9" max="9" width="12.1640625" bestFit="1" customWidth="1"/>
    <col min="12" max="12" width="21" bestFit="1" customWidth="1"/>
  </cols>
  <sheetData>
    <row r="2" spans="2:12" x14ac:dyDescent="0.2">
      <c r="B2" s="11" t="s">
        <v>194</v>
      </c>
      <c r="C2" s="11" t="s">
        <v>199</v>
      </c>
      <c r="D2" t="s">
        <v>203</v>
      </c>
      <c r="E2" t="s">
        <v>200</v>
      </c>
      <c r="F2" t="s">
        <v>201</v>
      </c>
      <c r="H2" s="11" t="s">
        <v>205</v>
      </c>
      <c r="I2" s="11" t="s">
        <v>202</v>
      </c>
      <c r="J2" s="11" t="s">
        <v>203</v>
      </c>
      <c r="K2" s="11" t="s">
        <v>200</v>
      </c>
      <c r="L2" s="11" t="s">
        <v>204</v>
      </c>
    </row>
    <row r="3" spans="2:12" x14ac:dyDescent="0.2">
      <c r="B3" s="211" t="s">
        <v>195</v>
      </c>
      <c r="C3" s="2">
        <f>7*3*2</f>
        <v>42</v>
      </c>
      <c r="D3" s="1">
        <v>0.61</v>
      </c>
      <c r="E3">
        <v>0.22</v>
      </c>
      <c r="F3" s="5">
        <f>(C3*D3)+(E3*C3)</f>
        <v>34.86</v>
      </c>
      <c r="H3" s="211" t="s">
        <v>189</v>
      </c>
      <c r="I3">
        <f>0.67*1</f>
        <v>0.67</v>
      </c>
      <c r="J3" s="206">
        <v>1.5</v>
      </c>
      <c r="K3" s="1">
        <v>0.22</v>
      </c>
      <c r="L3" s="5">
        <f>(K3*I3)+(J3*I3)</f>
        <v>1.1524000000000001</v>
      </c>
    </row>
    <row r="4" spans="2:12" x14ac:dyDescent="0.2">
      <c r="B4" s="211" t="s">
        <v>198</v>
      </c>
      <c r="C4" s="2">
        <f>7*(3*1.5)*2</f>
        <v>63</v>
      </c>
      <c r="D4" s="1">
        <v>0.61</v>
      </c>
      <c r="E4">
        <v>0.22</v>
      </c>
      <c r="F4" s="5">
        <f t="shared" ref="F4:F11" si="0">(C4*D4)+(E4*C4)</f>
        <v>52.29</v>
      </c>
      <c r="H4" s="211" t="s">
        <v>192</v>
      </c>
      <c r="I4">
        <f>0.71*1</f>
        <v>0.71</v>
      </c>
      <c r="J4" s="206">
        <v>2.5</v>
      </c>
      <c r="K4" s="206">
        <v>0.22</v>
      </c>
      <c r="L4" s="5">
        <f>(K4*I4)+(J4*I4)</f>
        <v>1.9312</v>
      </c>
    </row>
    <row r="5" spans="2:12" x14ac:dyDescent="0.2">
      <c r="B5" s="211" t="s">
        <v>210</v>
      </c>
      <c r="C5" s="2">
        <f>6*7*2</f>
        <v>84</v>
      </c>
      <c r="D5" s="1">
        <v>0.61</v>
      </c>
      <c r="E5">
        <v>0.22</v>
      </c>
      <c r="F5" s="5">
        <f t="shared" si="0"/>
        <v>69.72</v>
      </c>
      <c r="H5" s="211"/>
    </row>
    <row r="6" spans="2:12" x14ac:dyDescent="0.2">
      <c r="B6" s="211" t="s">
        <v>196</v>
      </c>
      <c r="C6" s="2">
        <f>9*3*2</f>
        <v>54</v>
      </c>
      <c r="D6" s="1">
        <v>0.61</v>
      </c>
      <c r="E6">
        <v>0.22</v>
      </c>
      <c r="F6" s="5">
        <f t="shared" si="0"/>
        <v>44.82</v>
      </c>
      <c r="H6" s="211"/>
    </row>
    <row r="7" spans="2:12" x14ac:dyDescent="0.2">
      <c r="B7" s="211" t="s">
        <v>197</v>
      </c>
      <c r="C7" s="2">
        <f>9*(3*1.5)*2</f>
        <v>81</v>
      </c>
      <c r="D7" s="1">
        <v>0.61</v>
      </c>
      <c r="E7">
        <v>0.22</v>
      </c>
      <c r="F7" s="5">
        <f t="shared" si="0"/>
        <v>67.22999999999999</v>
      </c>
      <c r="H7" s="211"/>
    </row>
    <row r="8" spans="2:12" x14ac:dyDescent="0.2">
      <c r="B8" s="211" t="s">
        <v>211</v>
      </c>
      <c r="C8" s="2">
        <f>6*9*2</f>
        <v>108</v>
      </c>
      <c r="D8" s="1">
        <v>0.61</v>
      </c>
      <c r="E8">
        <v>0.22</v>
      </c>
      <c r="F8" s="5">
        <f t="shared" si="0"/>
        <v>89.64</v>
      </c>
      <c r="H8" s="211"/>
    </row>
    <row r="9" spans="2:12" x14ac:dyDescent="0.2">
      <c r="B9" s="211" t="s">
        <v>212</v>
      </c>
      <c r="C9" s="2">
        <f>7*3*2</f>
        <v>42</v>
      </c>
      <c r="D9" s="1">
        <v>1.3</v>
      </c>
      <c r="E9">
        <v>0.33</v>
      </c>
      <c r="F9" s="5">
        <f t="shared" si="0"/>
        <v>68.460000000000008</v>
      </c>
      <c r="H9" s="211"/>
    </row>
    <row r="10" spans="2:12" x14ac:dyDescent="0.2">
      <c r="B10" s="211" t="s">
        <v>213</v>
      </c>
      <c r="C10" s="2">
        <f>7*(3*1.5)*2</f>
        <v>63</v>
      </c>
      <c r="D10" s="1">
        <v>1.3</v>
      </c>
      <c r="E10">
        <v>0.33</v>
      </c>
      <c r="F10" s="5">
        <f t="shared" si="0"/>
        <v>102.69000000000001</v>
      </c>
      <c r="H10" s="211"/>
    </row>
    <row r="11" spans="2:12" x14ac:dyDescent="0.2">
      <c r="B11" s="211" t="s">
        <v>214</v>
      </c>
      <c r="C11" s="2">
        <f>6*7*2</f>
        <v>84</v>
      </c>
      <c r="D11" s="1">
        <v>1.3</v>
      </c>
      <c r="E11">
        <v>0.33</v>
      </c>
      <c r="F11" s="5">
        <f t="shared" si="0"/>
        <v>136.92000000000002</v>
      </c>
      <c r="H11" s="211"/>
    </row>
    <row r="18" spans="2:6" x14ac:dyDescent="0.2">
      <c r="D18" s="2"/>
      <c r="E18" s="2"/>
      <c r="F18" s="2"/>
    </row>
    <row r="19" spans="2:6" x14ac:dyDescent="0.2">
      <c r="B19" s="11"/>
      <c r="D19" s="1"/>
      <c r="E19" s="206"/>
      <c r="F19" s="2"/>
    </row>
    <row r="20" spans="2:6" x14ac:dyDescent="0.2">
      <c r="D20" s="1"/>
      <c r="E20" s="206"/>
      <c r="F20" s="2"/>
    </row>
    <row r="21" spans="2:6" x14ac:dyDescent="0.2">
      <c r="D21" s="1"/>
      <c r="E21" s="206"/>
      <c r="F21" s="2"/>
    </row>
    <row r="22" spans="2:6" x14ac:dyDescent="0.2">
      <c r="D22" s="206"/>
      <c r="E22" s="206"/>
      <c r="F22" s="2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5D70-B8B1-47A3-967B-6E881C96370C}">
  <sheetPr codeName="Sheet6"/>
  <dimension ref="A2:D23"/>
  <sheetViews>
    <sheetView workbookViewId="0">
      <selection activeCell="C11" sqref="C11"/>
    </sheetView>
  </sheetViews>
  <sheetFormatPr baseColWidth="10" defaultColWidth="8.83203125" defaultRowHeight="15" x14ac:dyDescent="0.2"/>
  <cols>
    <col min="1" max="1" width="51" bestFit="1" customWidth="1"/>
    <col min="2" max="2" width="27.1640625" bestFit="1" customWidth="1"/>
    <col min="3" max="3" width="12.1640625" bestFit="1" customWidth="1"/>
    <col min="4" max="4" width="10" bestFit="1" customWidth="1"/>
  </cols>
  <sheetData>
    <row r="2" spans="1:4" x14ac:dyDescent="0.2">
      <c r="A2" s="327" t="s">
        <v>102</v>
      </c>
      <c r="B2" s="327"/>
      <c r="C2" s="327"/>
      <c r="D2" s="327"/>
    </row>
    <row r="3" spans="1:4" x14ac:dyDescent="0.2">
      <c r="A3" s="117" t="s">
        <v>91</v>
      </c>
      <c r="B3" t="s">
        <v>108</v>
      </c>
      <c r="C3" s="136" t="s">
        <v>114</v>
      </c>
      <c r="D3" s="136" t="s">
        <v>113</v>
      </c>
    </row>
    <row r="4" spans="1:4" x14ac:dyDescent="0.2">
      <c r="A4" s="118">
        <v>0</v>
      </c>
      <c r="B4" s="119">
        <v>0</v>
      </c>
      <c r="C4" s="119">
        <f>ROUNDUP('Pivot Finish wall'!B4,0)</f>
        <v>0</v>
      </c>
      <c r="D4" s="121">
        <f>IFERROR(C4*VLOOKUP('Pivot Finish wall'!A4,'Paint Unified'!$C$2:$K$29,9,FALSE),0)</f>
        <v>0</v>
      </c>
    </row>
    <row r="5" spans="1:4" x14ac:dyDescent="0.2">
      <c r="A5" s="118" t="s">
        <v>161</v>
      </c>
      <c r="B5" s="119">
        <v>0</v>
      </c>
      <c r="C5">
        <f>ROUNDUP('Pivot Finish wall'!B5,0)</f>
        <v>0</v>
      </c>
      <c r="D5" s="121">
        <f>IFERROR(C5*VLOOKUP('Pivot Finish wall'!A5,'Paint Unified'!$C$2:$K$29,9,FALSE),0)</f>
        <v>0</v>
      </c>
    </row>
    <row r="6" spans="1:4" x14ac:dyDescent="0.2">
      <c r="A6" s="118" t="s">
        <v>18</v>
      </c>
      <c r="B6" s="119">
        <v>6</v>
      </c>
      <c r="C6">
        <f>ROUNDUP('Pivot Finish wall'!B6,0)</f>
        <v>6</v>
      </c>
      <c r="D6" s="121">
        <f>IFERROR(C6*VLOOKUP('Pivot Finish wall'!A6,'Paint Unified'!$C$2:$K$29,9,FALSE),0)</f>
        <v>240.26518214999999</v>
      </c>
    </row>
    <row r="7" spans="1:4" x14ac:dyDescent="0.2">
      <c r="C7">
        <f>ROUNDUP('Pivot Finish wall'!B7,0)</f>
        <v>0</v>
      </c>
      <c r="D7" s="121">
        <f>IFERROR(C7*VLOOKUP('Pivot Finish wall'!A7,'Paint Unified'!$C$2:$K$29,9,FALSE),0)</f>
        <v>0</v>
      </c>
    </row>
    <row r="8" spans="1:4" x14ac:dyDescent="0.2">
      <c r="C8">
        <f>ROUNDUP('Pivot Finish wall'!B8,0)</f>
        <v>0</v>
      </c>
      <c r="D8" s="121">
        <f>IFERROR(C8*VLOOKUP('Pivot Finish wall'!A8,'Paint Unified'!$C$2:$K$29,9,FALSE),0)</f>
        <v>0</v>
      </c>
    </row>
    <row r="9" spans="1:4" x14ac:dyDescent="0.2">
      <c r="C9">
        <f>ROUNDUP('Pivot Finish wall'!B9,0)</f>
        <v>0</v>
      </c>
      <c r="D9" s="121">
        <f>IFERROR(C9*VLOOKUP('Pivot Finish wall'!A9,'Paint Unified'!$C$2:$K$29,9,FALSE),0)</f>
        <v>0</v>
      </c>
    </row>
    <row r="10" spans="1:4" x14ac:dyDescent="0.2">
      <c r="C10">
        <f>ROUNDUP('Pivot Finish wall'!B10,0)</f>
        <v>0</v>
      </c>
      <c r="D10" s="121">
        <f>IFERROR(C10*VLOOKUP('Pivot Finish wall'!A10,'Paint Unified'!$C$2:$K$29,9,FALSE),0)</f>
        <v>0</v>
      </c>
    </row>
    <row r="11" spans="1:4" x14ac:dyDescent="0.2">
      <c r="C11">
        <f>ROUNDUP('Pivot Finish wall'!B11,0)</f>
        <v>0</v>
      </c>
      <c r="D11" s="121">
        <f>IFERROR(C11*VLOOKUP('Pivot Finish wall'!A11,'Paint Unified'!$C$2:$K$29,9,FALSE),0)</f>
        <v>0</v>
      </c>
    </row>
    <row r="12" spans="1:4" x14ac:dyDescent="0.2">
      <c r="C12">
        <f>ROUNDUP(Calculations!C60,0)</f>
        <v>0</v>
      </c>
      <c r="D12" s="121">
        <f>IFERROR(C12*VLOOKUP(Calculations!B60,'Paint Unified'!$C$2:$K$29,9,FALSE),0)</f>
        <v>0</v>
      </c>
    </row>
    <row r="13" spans="1:4" x14ac:dyDescent="0.2">
      <c r="C13">
        <f>ROUNDUP(Calculations!C61,0)</f>
        <v>0</v>
      </c>
      <c r="D13" s="121">
        <f>IFERROR(C13*VLOOKUP(Calculations!B61,'Paint Unified'!$C$2:$K$29,9,FALSE),0)</f>
        <v>0</v>
      </c>
    </row>
    <row r="14" spans="1:4" x14ac:dyDescent="0.2">
      <c r="C14">
        <f>ROUNDUP(Calculations!C62,0)</f>
        <v>0</v>
      </c>
      <c r="D14" s="121">
        <f>IFERROR(C14*VLOOKUP(Calculations!B62,'Paint Unified'!$C$2:$K$29,9,FALSE),0)</f>
        <v>0</v>
      </c>
    </row>
    <row r="15" spans="1:4" x14ac:dyDescent="0.2">
      <c r="C15">
        <f>ROUNDUP(Calculations!C63,0)</f>
        <v>0</v>
      </c>
      <c r="D15" s="121">
        <f>IFERROR(C15*VLOOKUP(Calculations!B63,'Paint Unified'!$C$2:$K$29,9,FALSE),0)</f>
        <v>0</v>
      </c>
    </row>
    <row r="16" spans="1:4" x14ac:dyDescent="0.2">
      <c r="C16">
        <f>ROUNDUP(Calculations!C64,0)</f>
        <v>0</v>
      </c>
      <c r="D16" s="121">
        <f>IFERROR(C16*VLOOKUP(Calculations!B64,'Paint Unified'!$C$2:$K$29,9,FALSE),0)</f>
        <v>0</v>
      </c>
    </row>
    <row r="17" spans="3:4" x14ac:dyDescent="0.2">
      <c r="C17">
        <f>ROUNDUP(Calculations!C65,0)</f>
        <v>0</v>
      </c>
      <c r="D17" s="121">
        <f>IFERROR(C17*VLOOKUP(Calculations!B65,'Paint Unified'!$C$2:$K$29,9,FALSE),0)</f>
        <v>0</v>
      </c>
    </row>
    <row r="18" spans="3:4" x14ac:dyDescent="0.2">
      <c r="C18">
        <f>ROUNDUP(Calculations!C66,0)</f>
        <v>0</v>
      </c>
      <c r="D18" s="121">
        <f>IFERROR(C18*VLOOKUP(Calculations!B66,'Paint Unified'!$C$2:$K$29,9,FALSE),0)</f>
        <v>0</v>
      </c>
    </row>
    <row r="19" spans="3:4" x14ac:dyDescent="0.2">
      <c r="C19">
        <f>ROUNDUP(Calculations!C67,0)</f>
        <v>0</v>
      </c>
      <c r="D19" s="121">
        <f>IFERROR(C19*VLOOKUP(Calculations!B67,'Paint Unified'!$C$2:$K$29,9,FALSE),0)</f>
        <v>0</v>
      </c>
    </row>
    <row r="20" spans="3:4" x14ac:dyDescent="0.2">
      <c r="C20">
        <f>ROUNDUP(Calculations!C68,0)</f>
        <v>0</v>
      </c>
      <c r="D20" s="121">
        <f>IFERROR(C20*VLOOKUP(Calculations!B68,'Paint Unified'!$C$2:$K$29,9,FALSE),0)</f>
        <v>0</v>
      </c>
    </row>
    <row r="21" spans="3:4" x14ac:dyDescent="0.2">
      <c r="C21">
        <f>ROUNDUP(Calculations!C69,0)</f>
        <v>0</v>
      </c>
      <c r="D21" s="121">
        <f>IFERROR(C21*VLOOKUP(Calculations!B69,'Paint Unified'!$C$2:$K$29,9,FALSE),0)</f>
        <v>0</v>
      </c>
    </row>
    <row r="22" spans="3:4" x14ac:dyDescent="0.2">
      <c r="C22">
        <f>ROUNDUP(Calculations!C70,0)</f>
        <v>0</v>
      </c>
      <c r="D22" s="121">
        <f>IFERROR(C22*VLOOKUP(Calculations!B70,'Paint Unified'!$C$2:$K$29,9,FALSE),0)</f>
        <v>0</v>
      </c>
    </row>
    <row r="23" spans="3:4" x14ac:dyDescent="0.2">
      <c r="C23">
        <f>ROUNDUP(Calculations!C71,0)</f>
        <v>0</v>
      </c>
      <c r="D23" s="5">
        <f>IFERROR(C23*VLOOKUP(Calculations!B71,'Paint Unified'!$C$2:$K$29,9,FALSE),0)</f>
        <v>0</v>
      </c>
    </row>
  </sheetData>
  <mergeCells count="1">
    <mergeCell ref="A2:D2"/>
  </mergeCells>
  <pageMargins left="0.7" right="0.7" top="0.75" bottom="0.75" header="0.3" footer="0.3"/>
  <pageSetup orientation="portrait" horizontalDpi="360" verticalDpi="36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E9F1-F813-44F5-B803-755FE2E3FBC7}">
  <sheetPr codeName="Sheet7"/>
  <dimension ref="A2:D23"/>
  <sheetViews>
    <sheetView workbookViewId="0">
      <selection activeCell="C14" sqref="C14"/>
    </sheetView>
  </sheetViews>
  <sheetFormatPr baseColWidth="10" defaultColWidth="8.83203125" defaultRowHeight="15" x14ac:dyDescent="0.2"/>
  <cols>
    <col min="1" max="1" width="31.5" bestFit="1" customWidth="1"/>
    <col min="2" max="2" width="26.1640625" bestFit="1" customWidth="1"/>
    <col min="3" max="3" width="12.1640625" bestFit="1" customWidth="1"/>
    <col min="4" max="4" width="10" bestFit="1" customWidth="1"/>
  </cols>
  <sheetData>
    <row r="2" spans="1:4" x14ac:dyDescent="0.2">
      <c r="A2" s="327" t="s">
        <v>115</v>
      </c>
      <c r="B2" s="327"/>
      <c r="C2" s="327"/>
      <c r="D2" s="327"/>
    </row>
    <row r="3" spans="1:4" x14ac:dyDescent="0.2">
      <c r="A3" s="117" t="s">
        <v>91</v>
      </c>
      <c r="B3" t="s">
        <v>110</v>
      </c>
      <c r="C3" s="136" t="s">
        <v>114</v>
      </c>
      <c r="D3" s="136" t="s">
        <v>113</v>
      </c>
    </row>
    <row r="4" spans="1:4" x14ac:dyDescent="0.2">
      <c r="A4" s="118">
        <v>0</v>
      </c>
      <c r="B4" s="119">
        <v>0</v>
      </c>
      <c r="C4">
        <f>ROUNDUP('Pivot Finish Ceiling'!B4,0)</f>
        <v>0</v>
      </c>
      <c r="D4" s="1">
        <f>IFERROR(C4*VLOOKUP('Pivot Finish Ceiling'!A4,'Paint Unified'!$C$2:$K$29,9,FALSE),0)</f>
        <v>0</v>
      </c>
    </row>
    <row r="5" spans="1:4" x14ac:dyDescent="0.2">
      <c r="A5" s="118" t="s">
        <v>17</v>
      </c>
      <c r="B5" s="119">
        <v>0</v>
      </c>
      <c r="C5">
        <f>ROUNDUP('Pivot Finish Ceiling'!B5,0)</f>
        <v>0</v>
      </c>
      <c r="D5" s="1">
        <f>IFERROR(C5*VLOOKUP('Pivot Finish Ceiling'!A5,'Paint Unified'!$C$2:$K$29,9,FALSE),0)</f>
        <v>0</v>
      </c>
    </row>
    <row r="6" spans="1:4" x14ac:dyDescent="0.2">
      <c r="C6">
        <f>ROUNDUP(Calculations!I54,0)</f>
        <v>0</v>
      </c>
      <c r="D6" s="1">
        <f>IFERROR(C6*VLOOKUP(Calculations!H54,'Paint Unified'!$C$2:$K$29,9,FALSE),0)</f>
        <v>0</v>
      </c>
    </row>
    <row r="7" spans="1:4" x14ac:dyDescent="0.2">
      <c r="C7">
        <f>ROUNDUP(Calculations!I55,0)</f>
        <v>0</v>
      </c>
      <c r="D7" s="1">
        <f>IFERROR(C7*VLOOKUP(Calculations!H55,'Paint Unified'!$C$2:$K$29,9,FALSE),0)</f>
        <v>0</v>
      </c>
    </row>
    <row r="8" spans="1:4" x14ac:dyDescent="0.2">
      <c r="C8">
        <f>ROUNDUP(Calculations!I56,0)</f>
        <v>0</v>
      </c>
      <c r="D8" s="1">
        <f>IFERROR(C8*VLOOKUP(Calculations!H56,'Paint Unified'!$C$2:$K$29,9,FALSE),0)</f>
        <v>0</v>
      </c>
    </row>
    <row r="9" spans="1:4" x14ac:dyDescent="0.2">
      <c r="C9">
        <f>ROUNDUP(Calculations!I57,0)</f>
        <v>0</v>
      </c>
      <c r="D9" s="1">
        <f>IFERROR(C9*VLOOKUP(Calculations!H57,'Paint Unified'!$C$2:$K$29,9,FALSE),0)</f>
        <v>0</v>
      </c>
    </row>
    <row r="10" spans="1:4" x14ac:dyDescent="0.2">
      <c r="C10">
        <f>ROUNDUP(Calculations!I58,0)</f>
        <v>0</v>
      </c>
      <c r="D10" s="1">
        <f>IFERROR(C10*VLOOKUP(Calculations!H58,'Paint Unified'!$C$2:$K$29,9,FALSE),0)</f>
        <v>0</v>
      </c>
    </row>
    <row r="11" spans="1:4" x14ac:dyDescent="0.2">
      <c r="C11">
        <f>ROUNDUP(Calculations!I59,0)</f>
        <v>0</v>
      </c>
      <c r="D11" s="1">
        <f>IFERROR(C11*VLOOKUP(Calculations!H59,'Paint Unified'!$C$2:$K$29,9,FALSE),0)</f>
        <v>0</v>
      </c>
    </row>
    <row r="12" spans="1:4" x14ac:dyDescent="0.2">
      <c r="C12">
        <f>ROUNDUP(Calculations!I60,0)</f>
        <v>0</v>
      </c>
      <c r="D12" s="1">
        <f>IFERROR(C12*VLOOKUP(Calculations!H60,'Paint Unified'!$C$2:$K$29,9,FALSE),0)</f>
        <v>0</v>
      </c>
    </row>
    <row r="13" spans="1:4" x14ac:dyDescent="0.2">
      <c r="C13">
        <f>ROUNDUP(Calculations!I61,0)</f>
        <v>0</v>
      </c>
      <c r="D13" s="1">
        <f>IFERROR(C13*VLOOKUP(Calculations!H61,'Paint Unified'!$C$2:$K$29,9,FALSE),0)</f>
        <v>0</v>
      </c>
    </row>
    <row r="14" spans="1:4" x14ac:dyDescent="0.2">
      <c r="C14">
        <f>ROUNDUP(Calculations!I62,0)</f>
        <v>0</v>
      </c>
      <c r="D14" s="1">
        <f>IFERROR(C14*VLOOKUP(Calculations!H62,'Paint Unified'!$C$2:$K$29,9,FALSE),0)</f>
        <v>0</v>
      </c>
    </row>
    <row r="15" spans="1:4" x14ac:dyDescent="0.2">
      <c r="C15">
        <f>ROUNDUP(Calculations!I63,0)</f>
        <v>0</v>
      </c>
      <c r="D15" s="1">
        <f>IFERROR(C15*VLOOKUP(Calculations!H63,'Paint Unified'!$C$2:$K$29,9,FALSE),0)</f>
        <v>0</v>
      </c>
    </row>
    <row r="16" spans="1:4" x14ac:dyDescent="0.2">
      <c r="C16">
        <f>ROUNDUP(Calculations!I64,0)</f>
        <v>0</v>
      </c>
      <c r="D16" s="1">
        <f>IFERROR(C16*VLOOKUP(Calculations!H64,'Paint Unified'!$C$2:$K$29,9,FALSE),0)</f>
        <v>0</v>
      </c>
    </row>
    <row r="17" spans="3:4" x14ac:dyDescent="0.2">
      <c r="C17">
        <f>ROUNDUP(Calculations!I65,0)</f>
        <v>0</v>
      </c>
      <c r="D17" s="1">
        <f>IFERROR(C17*VLOOKUP(Calculations!H65,'Paint Unified'!$C$2:$K$29,9,FALSE),0)</f>
        <v>0</v>
      </c>
    </row>
    <row r="18" spans="3:4" x14ac:dyDescent="0.2">
      <c r="C18">
        <f>ROUNDUP(Calculations!I66,0)</f>
        <v>0</v>
      </c>
      <c r="D18" s="1">
        <f>IFERROR(C18*VLOOKUP(Calculations!H66,'Paint Unified'!$C$2:$K$29,9,FALSE),0)</f>
        <v>0</v>
      </c>
    </row>
    <row r="19" spans="3:4" x14ac:dyDescent="0.2">
      <c r="C19">
        <f>ROUNDUP(Calculations!I67,0)</f>
        <v>0</v>
      </c>
      <c r="D19" s="1">
        <f>IFERROR(C19*VLOOKUP(Calculations!H67,'Paint Unified'!$C$2:$K$29,9,FALSE),0)</f>
        <v>0</v>
      </c>
    </row>
    <row r="20" spans="3:4" x14ac:dyDescent="0.2">
      <c r="C20">
        <f>ROUNDUP(Calculations!I68,0)</f>
        <v>0</v>
      </c>
      <c r="D20" s="1">
        <f>IFERROR(C20*VLOOKUP(Calculations!H68,'Paint Unified'!$C$2:$K$29,9,FALSE),0)</f>
        <v>0</v>
      </c>
    </row>
    <row r="21" spans="3:4" x14ac:dyDescent="0.2">
      <c r="C21">
        <f>ROUNDUP(Calculations!I69,0)</f>
        <v>0</v>
      </c>
      <c r="D21" s="1">
        <f>IFERROR(C21*VLOOKUP(Calculations!H69,'Paint Unified'!$C$2:$K$29,9,FALSE),0)</f>
        <v>0</v>
      </c>
    </row>
    <row r="22" spans="3:4" x14ac:dyDescent="0.2">
      <c r="C22">
        <f>ROUNDUP(Calculations!I70,0)</f>
        <v>0</v>
      </c>
      <c r="D22" s="1">
        <f>IFERROR(C22*VLOOKUP(Calculations!H70,'Paint Unified'!$C$2:$K$29,9,FALSE),0)</f>
        <v>0</v>
      </c>
    </row>
    <row r="23" spans="3:4" x14ac:dyDescent="0.2">
      <c r="C23">
        <f>ROUNDUP(Calculations!I71,0)</f>
        <v>0</v>
      </c>
      <c r="D23" s="1">
        <f>IFERROR(C23*VLOOKUP(Calculations!H71,'Paint Unified'!$C$2:$K$29,9,FALSE),0)</f>
        <v>0</v>
      </c>
    </row>
  </sheetData>
  <mergeCells count="1">
    <mergeCell ref="A2:D2"/>
  </mergeCells>
  <pageMargins left="0.7" right="0.7" top="0.75" bottom="0.75" header="0.3" footer="0.3"/>
  <pageSetup orientation="portrait" horizontalDpi="360" verticalDpi="36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80B78-1A55-489B-BBEA-D4DD163B2357}">
  <sheetPr codeName="Sheet11"/>
  <dimension ref="A1:U31"/>
  <sheetViews>
    <sheetView topLeftCell="E1" workbookViewId="0">
      <selection activeCell="R1" sqref="R1:U12"/>
    </sheetView>
  </sheetViews>
  <sheetFormatPr baseColWidth="10" defaultColWidth="8.83203125" defaultRowHeight="15" x14ac:dyDescent="0.2"/>
  <cols>
    <col min="1" max="1" width="16.1640625" bestFit="1" customWidth="1"/>
    <col min="2" max="2" width="15.1640625" bestFit="1" customWidth="1"/>
    <col min="3" max="3" width="51" bestFit="1" customWidth="1"/>
    <col min="4" max="4" width="11.6640625" bestFit="1" customWidth="1"/>
    <col min="5" max="5" width="11.83203125" bestFit="1" customWidth="1"/>
    <col min="6" max="6" width="10.6640625" bestFit="1" customWidth="1"/>
    <col min="7" max="7" width="7.1640625" bestFit="1" customWidth="1"/>
    <col min="8" max="8" width="6.1640625" bestFit="1" customWidth="1"/>
    <col min="9" max="9" width="12" bestFit="1" customWidth="1"/>
    <col min="10" max="10" width="11.1640625" bestFit="1" customWidth="1"/>
    <col min="11" max="11" width="16.1640625" style="268" bestFit="1" customWidth="1"/>
    <col min="12" max="12" width="13.33203125" bestFit="1" customWidth="1"/>
    <col min="13" max="13" width="9.5" bestFit="1" customWidth="1"/>
    <col min="14" max="14" width="13.1640625" bestFit="1" customWidth="1"/>
    <col min="15" max="15" width="11.83203125" bestFit="1" customWidth="1"/>
    <col min="16" max="16" width="10.83203125" bestFit="1" customWidth="1"/>
    <col min="17" max="17" width="13" bestFit="1" customWidth="1"/>
    <col min="18" max="18" width="14.33203125" bestFit="1" customWidth="1"/>
    <col min="19" max="19" width="14" bestFit="1" customWidth="1"/>
    <col min="20" max="20" width="15.5" customWidth="1"/>
  </cols>
  <sheetData>
    <row r="1" spans="1:21" x14ac:dyDescent="0.2">
      <c r="A1" t="s">
        <v>1</v>
      </c>
      <c r="B1" t="s">
        <v>2</v>
      </c>
      <c r="C1" t="s">
        <v>3</v>
      </c>
      <c r="D1" t="s">
        <v>4</v>
      </c>
      <c r="E1" t="s">
        <v>58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268" t="s">
        <v>10</v>
      </c>
      <c r="L1" t="s">
        <v>11</v>
      </c>
      <c r="M1" t="s">
        <v>12</v>
      </c>
      <c r="N1" t="s">
        <v>82</v>
      </c>
      <c r="O1" t="s">
        <v>59</v>
      </c>
      <c r="P1" t="s">
        <v>81</v>
      </c>
      <c r="R1" s="3" t="s">
        <v>151</v>
      </c>
      <c r="S1" s="3" t="s">
        <v>154</v>
      </c>
      <c r="T1" s="11" t="s">
        <v>158</v>
      </c>
      <c r="U1" s="11" t="s">
        <v>159</v>
      </c>
    </row>
    <row r="2" spans="1:21" x14ac:dyDescent="0.2">
      <c r="A2" t="s">
        <v>13</v>
      </c>
      <c r="B2" s="2">
        <v>650362817</v>
      </c>
      <c r="C2" t="s">
        <v>17</v>
      </c>
      <c r="D2">
        <v>26.54</v>
      </c>
      <c r="E2">
        <v>28.265099999999997</v>
      </c>
      <c r="F2">
        <v>1</v>
      </c>
      <c r="G2" t="s">
        <v>15</v>
      </c>
      <c r="H2">
        <v>0.13</v>
      </c>
      <c r="I2" s="268">
        <v>31.939562999999993</v>
      </c>
      <c r="J2">
        <v>0.05</v>
      </c>
      <c r="K2" s="268">
        <v>33.536541149999991</v>
      </c>
      <c r="L2">
        <v>300</v>
      </c>
      <c r="M2">
        <v>0.12</v>
      </c>
      <c r="N2" t="s">
        <v>83</v>
      </c>
      <c r="R2" s="184">
        <f>AVERAGEA(M2:M4)</f>
        <v>0.20333333333333337</v>
      </c>
      <c r="S2" s="184">
        <f>MEDIAN(M2:M4)</f>
        <v>0.17</v>
      </c>
      <c r="T2">
        <f>MAX(M2:M4)</f>
        <v>0.32</v>
      </c>
      <c r="U2">
        <f>MIN(M2:M4)</f>
        <v>0.12</v>
      </c>
    </row>
    <row r="3" spans="1:21" x14ac:dyDescent="0.2">
      <c r="A3" t="s">
        <v>28</v>
      </c>
      <c r="B3" s="2" t="s">
        <v>40</v>
      </c>
      <c r="C3" t="s">
        <v>41</v>
      </c>
      <c r="D3">
        <v>51.69</v>
      </c>
      <c r="E3">
        <v>55.049849999999992</v>
      </c>
      <c r="F3">
        <v>1</v>
      </c>
      <c r="G3" t="s">
        <v>31</v>
      </c>
      <c r="H3">
        <v>0.13</v>
      </c>
      <c r="I3" s="268">
        <v>62.206330499999986</v>
      </c>
      <c r="J3">
        <v>0.05</v>
      </c>
      <c r="K3" s="268">
        <v>65.316647024999995</v>
      </c>
      <c r="L3">
        <v>400</v>
      </c>
      <c r="M3">
        <v>0.17</v>
      </c>
      <c r="N3" t="s">
        <v>83</v>
      </c>
    </row>
    <row r="4" spans="1:21" x14ac:dyDescent="0.2">
      <c r="A4" t="s">
        <v>28</v>
      </c>
      <c r="B4" s="2" t="s">
        <v>42</v>
      </c>
      <c r="C4" t="s">
        <v>43</v>
      </c>
      <c r="D4">
        <v>87.99</v>
      </c>
      <c r="E4">
        <v>93.709349999999986</v>
      </c>
      <c r="F4">
        <v>1</v>
      </c>
      <c r="G4" t="s">
        <v>31</v>
      </c>
      <c r="H4">
        <v>0.13</v>
      </c>
      <c r="I4" s="268">
        <v>105.89156549999997</v>
      </c>
      <c r="J4">
        <v>0.05</v>
      </c>
      <c r="K4" s="268">
        <v>111.18614377499998</v>
      </c>
      <c r="L4">
        <v>350</v>
      </c>
      <c r="M4">
        <v>0.32</v>
      </c>
      <c r="N4" t="s">
        <v>86</v>
      </c>
      <c r="R4" s="3" t="s">
        <v>152</v>
      </c>
      <c r="S4" s="3" t="s">
        <v>155</v>
      </c>
      <c r="T4" s="11" t="s">
        <v>157</v>
      </c>
      <c r="U4" s="11" t="s">
        <v>159</v>
      </c>
    </row>
    <row r="5" spans="1:21" x14ac:dyDescent="0.2">
      <c r="A5" t="s">
        <v>13</v>
      </c>
      <c r="B5" s="2">
        <v>650946627</v>
      </c>
      <c r="C5" t="s">
        <v>18</v>
      </c>
      <c r="D5">
        <v>31.69</v>
      </c>
      <c r="E5">
        <v>33.749850000000002</v>
      </c>
      <c r="F5">
        <v>1</v>
      </c>
      <c r="G5" t="s">
        <v>15</v>
      </c>
      <c r="H5">
        <v>0.13</v>
      </c>
      <c r="I5" s="268">
        <v>38.137330499999997</v>
      </c>
      <c r="J5">
        <v>0.05</v>
      </c>
      <c r="K5" s="268">
        <v>40.044197024999995</v>
      </c>
      <c r="L5">
        <v>300</v>
      </c>
      <c r="M5">
        <v>0.14000000000000001</v>
      </c>
      <c r="N5" t="s">
        <v>84</v>
      </c>
      <c r="R5" s="184">
        <f>AVERAGE(M5:M24)</f>
        <v>0.30900000000000005</v>
      </c>
      <c r="S5" s="184">
        <f>MEDIAN(M5:M24)</f>
        <v>0.26</v>
      </c>
      <c r="T5">
        <f>MAX(M5:M24)</f>
        <v>1.01</v>
      </c>
      <c r="U5">
        <f>MIN(M5:M24)</f>
        <v>0.12</v>
      </c>
    </row>
    <row r="6" spans="1:21" x14ac:dyDescent="0.2">
      <c r="A6" t="s">
        <v>13</v>
      </c>
      <c r="B6" s="2">
        <v>650991565</v>
      </c>
      <c r="C6" t="s">
        <v>19</v>
      </c>
      <c r="D6">
        <v>40.49</v>
      </c>
      <c r="E6">
        <v>43.121850000000002</v>
      </c>
      <c r="F6">
        <v>1</v>
      </c>
      <c r="G6" t="s">
        <v>15</v>
      </c>
      <c r="H6">
        <v>0.13</v>
      </c>
      <c r="I6" s="268">
        <v>48.727690499999994</v>
      </c>
      <c r="J6">
        <v>0.05</v>
      </c>
      <c r="K6" s="268">
        <v>51.164075024999995</v>
      </c>
      <c r="L6">
        <v>300</v>
      </c>
      <c r="M6">
        <v>0.18000000000000002</v>
      </c>
      <c r="N6" t="s">
        <v>84</v>
      </c>
    </row>
    <row r="7" spans="1:21" x14ac:dyDescent="0.2">
      <c r="A7" t="s">
        <v>13</v>
      </c>
      <c r="B7" s="2">
        <v>651189276</v>
      </c>
      <c r="C7" t="s">
        <v>20</v>
      </c>
      <c r="D7">
        <v>52.68</v>
      </c>
      <c r="E7">
        <v>56.104199999999999</v>
      </c>
      <c r="F7">
        <v>1</v>
      </c>
      <c r="G7" t="s">
        <v>15</v>
      </c>
      <c r="H7">
        <v>0.13</v>
      </c>
      <c r="I7" s="268">
        <v>63.397745999999991</v>
      </c>
      <c r="J7">
        <v>0.05</v>
      </c>
      <c r="K7" s="268">
        <v>66.567633299999997</v>
      </c>
      <c r="L7">
        <v>300</v>
      </c>
      <c r="M7">
        <v>0.23</v>
      </c>
      <c r="N7" t="s">
        <v>84</v>
      </c>
      <c r="R7" s="3" t="s">
        <v>153</v>
      </c>
      <c r="S7" s="3" t="s">
        <v>156</v>
      </c>
      <c r="T7" s="11" t="s">
        <v>157</v>
      </c>
      <c r="U7" s="11" t="s">
        <v>159</v>
      </c>
    </row>
    <row r="8" spans="1:21" x14ac:dyDescent="0.2">
      <c r="A8" t="s">
        <v>13</v>
      </c>
      <c r="B8" s="2">
        <v>651203143</v>
      </c>
      <c r="C8" t="s">
        <v>21</v>
      </c>
      <c r="D8">
        <v>54</v>
      </c>
      <c r="E8">
        <v>57.51</v>
      </c>
      <c r="F8">
        <v>1</v>
      </c>
      <c r="G8" t="s">
        <v>15</v>
      </c>
      <c r="H8">
        <v>0.13</v>
      </c>
      <c r="I8" s="268">
        <v>64.986299999999986</v>
      </c>
      <c r="J8">
        <v>0.05</v>
      </c>
      <c r="K8" s="268">
        <v>68.235614999999981</v>
      </c>
      <c r="L8">
        <v>300</v>
      </c>
      <c r="M8">
        <v>0.23</v>
      </c>
      <c r="N8" t="s">
        <v>84</v>
      </c>
      <c r="R8" s="184">
        <f>AVERAGEA(M25:M29)</f>
        <v>0.16799999999999998</v>
      </c>
      <c r="S8" s="184">
        <f>MEDIAN(M25:M29)</f>
        <v>0.09</v>
      </c>
      <c r="T8">
        <f>MAX(M25:M29)</f>
        <v>0.36</v>
      </c>
      <c r="U8">
        <f>MIN(M25:M29)</f>
        <v>6.9999999999999993E-2</v>
      </c>
    </row>
    <row r="9" spans="1:21" x14ac:dyDescent="0.2">
      <c r="A9" t="s">
        <v>13</v>
      </c>
      <c r="B9" s="2">
        <v>651016966</v>
      </c>
      <c r="C9" t="s">
        <v>22</v>
      </c>
      <c r="D9">
        <v>60.19</v>
      </c>
      <c r="E9">
        <v>64.102350000000001</v>
      </c>
      <c r="F9">
        <v>1</v>
      </c>
      <c r="G9" t="s">
        <v>15</v>
      </c>
      <c r="H9">
        <v>0.13</v>
      </c>
      <c r="I9" s="268">
        <v>72.435655499999996</v>
      </c>
      <c r="J9">
        <v>0.05</v>
      </c>
      <c r="K9" s="268">
        <v>76.057438274999996</v>
      </c>
      <c r="L9">
        <v>300</v>
      </c>
      <c r="M9">
        <v>0.26</v>
      </c>
      <c r="N9" t="s">
        <v>84</v>
      </c>
    </row>
    <row r="10" spans="1:21" x14ac:dyDescent="0.2">
      <c r="A10" t="s">
        <v>13</v>
      </c>
      <c r="B10" s="2">
        <v>650932056</v>
      </c>
      <c r="C10" t="s">
        <v>23</v>
      </c>
      <c r="D10">
        <v>40.53</v>
      </c>
      <c r="E10">
        <v>43.164450000000002</v>
      </c>
      <c r="F10">
        <v>1</v>
      </c>
      <c r="G10" t="s">
        <v>15</v>
      </c>
      <c r="H10">
        <v>0.13</v>
      </c>
      <c r="I10" s="268">
        <v>48.775828499999996</v>
      </c>
      <c r="J10">
        <v>0.05</v>
      </c>
      <c r="K10" s="268">
        <v>51.214619925000001</v>
      </c>
      <c r="L10">
        <v>100</v>
      </c>
      <c r="M10">
        <v>0.52</v>
      </c>
      <c r="N10" t="s">
        <v>84</v>
      </c>
      <c r="R10" s="315" t="s">
        <v>165</v>
      </c>
      <c r="S10" s="315"/>
      <c r="T10" s="315"/>
    </row>
    <row r="11" spans="1:21" x14ac:dyDescent="0.2">
      <c r="A11" t="s">
        <v>13</v>
      </c>
      <c r="B11" s="2">
        <v>650952435</v>
      </c>
      <c r="C11" t="s">
        <v>24</v>
      </c>
      <c r="D11">
        <v>51.52</v>
      </c>
      <c r="E11">
        <v>54.8688</v>
      </c>
      <c r="F11">
        <v>1</v>
      </c>
      <c r="G11" t="s">
        <v>15</v>
      </c>
      <c r="H11">
        <v>0.13</v>
      </c>
      <c r="I11" s="268">
        <v>62.001743999999995</v>
      </c>
      <c r="J11">
        <v>0.05</v>
      </c>
      <c r="K11" s="268">
        <v>65.101831199999992</v>
      </c>
      <c r="L11">
        <v>300</v>
      </c>
      <c r="M11">
        <v>0.22</v>
      </c>
      <c r="N11" t="s">
        <v>84</v>
      </c>
      <c r="R11" s="2" t="s">
        <v>149</v>
      </c>
      <c r="S11" s="2" t="s">
        <v>148</v>
      </c>
      <c r="T11" s="2" t="s">
        <v>147</v>
      </c>
    </row>
    <row r="12" spans="1:21" x14ac:dyDescent="0.2">
      <c r="A12" t="s">
        <v>13</v>
      </c>
      <c r="B12" s="2">
        <v>651201725</v>
      </c>
      <c r="C12" t="s">
        <v>25</v>
      </c>
      <c r="D12">
        <v>59.89</v>
      </c>
      <c r="E12">
        <v>63.782849999999996</v>
      </c>
      <c r="F12">
        <v>1</v>
      </c>
      <c r="G12" t="s">
        <v>15</v>
      </c>
      <c r="H12">
        <v>0.13</v>
      </c>
      <c r="I12" s="268">
        <v>72.074620499999995</v>
      </c>
      <c r="J12">
        <v>0.05</v>
      </c>
      <c r="K12" s="268">
        <v>75.678351524999997</v>
      </c>
      <c r="L12">
        <v>300</v>
      </c>
      <c r="M12">
        <v>0.26</v>
      </c>
      <c r="N12" t="s">
        <v>84</v>
      </c>
      <c r="R12" s="184">
        <f>AVERAGE(T2,S5,R8)</f>
        <v>0.24933333333333332</v>
      </c>
      <c r="S12" s="119">
        <f>AVERAGE(S2,S5,S8)</f>
        <v>0.17333333333333334</v>
      </c>
      <c r="T12" s="119">
        <f>AVERAGEA(U2,U5,U8)</f>
        <v>0.10333333333333333</v>
      </c>
    </row>
    <row r="13" spans="1:21" x14ac:dyDescent="0.2">
      <c r="A13" t="s">
        <v>13</v>
      </c>
      <c r="B13" s="2">
        <v>651254559</v>
      </c>
      <c r="C13" t="s">
        <v>26</v>
      </c>
      <c r="D13">
        <v>63.5</v>
      </c>
      <c r="E13">
        <v>67.627499999999998</v>
      </c>
      <c r="F13">
        <v>1</v>
      </c>
      <c r="G13" t="s">
        <v>15</v>
      </c>
      <c r="H13">
        <v>0.13</v>
      </c>
      <c r="I13" s="268">
        <v>76.419074999999992</v>
      </c>
      <c r="J13">
        <v>0.05</v>
      </c>
      <c r="K13" s="268">
        <v>80.240028749999993</v>
      </c>
      <c r="L13">
        <v>250</v>
      </c>
      <c r="M13">
        <v>0.33</v>
      </c>
      <c r="N13" t="s">
        <v>84</v>
      </c>
    </row>
    <row r="14" spans="1:21" x14ac:dyDescent="0.2">
      <c r="A14" t="s">
        <v>13</v>
      </c>
      <c r="B14" s="2">
        <v>651032815</v>
      </c>
      <c r="C14" t="s">
        <v>131</v>
      </c>
      <c r="D14">
        <v>67.58</v>
      </c>
      <c r="E14">
        <v>71.972699999999989</v>
      </c>
      <c r="F14">
        <v>1</v>
      </c>
      <c r="G14" t="s">
        <v>15</v>
      </c>
      <c r="H14">
        <v>0.13</v>
      </c>
      <c r="I14" s="268">
        <v>81.329150999999982</v>
      </c>
      <c r="J14">
        <v>0.05</v>
      </c>
      <c r="K14" s="268">
        <v>85.395608549999992</v>
      </c>
      <c r="L14">
        <v>85</v>
      </c>
      <c r="M14">
        <v>1.01</v>
      </c>
      <c r="N14" t="s">
        <v>84</v>
      </c>
    </row>
    <row r="15" spans="1:21" x14ac:dyDescent="0.2">
      <c r="A15" t="s">
        <v>13</v>
      </c>
      <c r="B15" s="2">
        <v>640118600</v>
      </c>
      <c r="C15" t="s">
        <v>27</v>
      </c>
      <c r="D15">
        <v>55.59</v>
      </c>
      <c r="E15">
        <v>59.20335</v>
      </c>
      <c r="F15">
        <v>1</v>
      </c>
      <c r="G15" t="s">
        <v>15</v>
      </c>
      <c r="H15">
        <v>0.13</v>
      </c>
      <c r="I15" s="268">
        <v>66.899785499999993</v>
      </c>
      <c r="J15">
        <v>0.05</v>
      </c>
      <c r="K15" s="268">
        <v>70.244774774999996</v>
      </c>
      <c r="L15">
        <v>230</v>
      </c>
      <c r="M15">
        <v>0.31</v>
      </c>
      <c r="N15" t="s">
        <v>84</v>
      </c>
    </row>
    <row r="16" spans="1:21" x14ac:dyDescent="0.2">
      <c r="A16" t="s">
        <v>28</v>
      </c>
      <c r="B16" s="2" t="s">
        <v>29</v>
      </c>
      <c r="C16" t="s">
        <v>30</v>
      </c>
      <c r="D16">
        <v>31.4</v>
      </c>
      <c r="E16">
        <v>33.440999999999995</v>
      </c>
      <c r="F16">
        <v>1</v>
      </c>
      <c r="G16" t="s">
        <v>31</v>
      </c>
      <c r="H16">
        <v>0.13</v>
      </c>
      <c r="I16" s="268">
        <v>37.788329999999988</v>
      </c>
      <c r="J16">
        <v>0.05</v>
      </c>
      <c r="K16" s="268">
        <v>39.677746499999991</v>
      </c>
      <c r="L16">
        <v>350</v>
      </c>
      <c r="M16">
        <v>0.12</v>
      </c>
      <c r="N16" t="s">
        <v>84</v>
      </c>
    </row>
    <row r="17" spans="1:14" x14ac:dyDescent="0.2">
      <c r="A17" t="s">
        <v>28</v>
      </c>
      <c r="B17" s="2" t="s">
        <v>34</v>
      </c>
      <c r="C17" t="s">
        <v>35</v>
      </c>
      <c r="D17">
        <v>57.74</v>
      </c>
      <c r="E17">
        <v>61.493099999999998</v>
      </c>
      <c r="F17">
        <v>1</v>
      </c>
      <c r="G17" t="s">
        <v>31</v>
      </c>
      <c r="H17">
        <v>0.13</v>
      </c>
      <c r="I17" s="268">
        <v>69.487202999999994</v>
      </c>
      <c r="J17">
        <v>0.05</v>
      </c>
      <c r="K17" s="268">
        <v>72.961563150000003</v>
      </c>
      <c r="L17">
        <v>350</v>
      </c>
      <c r="M17">
        <v>0.21000000000000002</v>
      </c>
      <c r="N17" t="s">
        <v>84</v>
      </c>
    </row>
    <row r="18" spans="1:14" x14ac:dyDescent="0.2">
      <c r="A18" t="s">
        <v>28</v>
      </c>
      <c r="B18" s="2" t="s">
        <v>36</v>
      </c>
      <c r="C18" t="s">
        <v>37</v>
      </c>
      <c r="D18">
        <v>62.39</v>
      </c>
      <c r="E18">
        <v>66.445349999999991</v>
      </c>
      <c r="F18">
        <v>1</v>
      </c>
      <c r="G18" t="s">
        <v>31</v>
      </c>
      <c r="H18">
        <v>0.13</v>
      </c>
      <c r="I18" s="268">
        <v>75.083245499999975</v>
      </c>
      <c r="J18">
        <v>0.05</v>
      </c>
      <c r="K18" s="268">
        <v>78.837407774999974</v>
      </c>
      <c r="L18">
        <v>400</v>
      </c>
      <c r="M18">
        <v>0.2</v>
      </c>
      <c r="N18" t="s">
        <v>84</v>
      </c>
    </row>
    <row r="19" spans="1:14" x14ac:dyDescent="0.2">
      <c r="A19" t="s">
        <v>28</v>
      </c>
      <c r="B19" s="2" t="s">
        <v>38</v>
      </c>
      <c r="C19" t="s">
        <v>39</v>
      </c>
      <c r="D19">
        <v>65.989999999999995</v>
      </c>
      <c r="E19">
        <v>70.279349999999994</v>
      </c>
      <c r="F19">
        <v>1</v>
      </c>
      <c r="G19" t="s">
        <v>31</v>
      </c>
      <c r="H19">
        <v>0.13</v>
      </c>
      <c r="I19" s="268">
        <v>79.415665499999989</v>
      </c>
      <c r="J19">
        <v>0.05</v>
      </c>
      <c r="K19" s="268">
        <v>83.386448774999991</v>
      </c>
      <c r="L19">
        <v>400</v>
      </c>
      <c r="M19">
        <v>0.21000000000000002</v>
      </c>
      <c r="N19" t="s">
        <v>84</v>
      </c>
    </row>
    <row r="20" spans="1:14" x14ac:dyDescent="0.2">
      <c r="A20" t="s">
        <v>28</v>
      </c>
      <c r="B20" s="2" t="s">
        <v>46</v>
      </c>
      <c r="C20" t="s">
        <v>47</v>
      </c>
      <c r="D20">
        <v>83.59</v>
      </c>
      <c r="E20">
        <v>89.023349999999994</v>
      </c>
      <c r="F20">
        <v>1</v>
      </c>
      <c r="G20" t="s">
        <v>31</v>
      </c>
      <c r="H20">
        <v>0.13</v>
      </c>
      <c r="I20" s="268">
        <v>100.59638549999998</v>
      </c>
      <c r="J20">
        <v>0.05</v>
      </c>
      <c r="K20" s="268">
        <v>105.62620477499999</v>
      </c>
      <c r="L20">
        <v>250</v>
      </c>
      <c r="M20">
        <v>0.43</v>
      </c>
      <c r="N20" t="s">
        <v>84</v>
      </c>
    </row>
    <row r="21" spans="1:14" x14ac:dyDescent="0.2">
      <c r="A21" t="s">
        <v>28</v>
      </c>
      <c r="B21" s="2" t="s">
        <v>48</v>
      </c>
      <c r="C21" t="s">
        <v>49</v>
      </c>
      <c r="D21">
        <v>63.79</v>
      </c>
      <c r="E21">
        <v>67.93634999999999</v>
      </c>
      <c r="F21">
        <v>1</v>
      </c>
      <c r="G21" t="s">
        <v>31</v>
      </c>
      <c r="H21">
        <v>0.13</v>
      </c>
      <c r="I21" s="268">
        <v>76.768075499999981</v>
      </c>
      <c r="J21">
        <v>0.05</v>
      </c>
      <c r="K21" s="268">
        <v>80.606479274999984</v>
      </c>
      <c r="L21">
        <v>300</v>
      </c>
      <c r="M21">
        <v>0.27</v>
      </c>
      <c r="N21" t="s">
        <v>84</v>
      </c>
    </row>
    <row r="22" spans="1:14" x14ac:dyDescent="0.2">
      <c r="A22" t="s">
        <v>28</v>
      </c>
      <c r="B22" s="2" t="s">
        <v>50</v>
      </c>
      <c r="C22" t="s">
        <v>51</v>
      </c>
      <c r="D22">
        <v>91.29</v>
      </c>
      <c r="E22">
        <v>97.223849999999999</v>
      </c>
      <c r="F22">
        <v>1</v>
      </c>
      <c r="G22" t="s">
        <v>31</v>
      </c>
      <c r="H22">
        <v>0.13</v>
      </c>
      <c r="I22" s="268">
        <v>109.86295049999998</v>
      </c>
      <c r="J22">
        <v>0.05</v>
      </c>
      <c r="K22" s="268">
        <v>115.35609802499998</v>
      </c>
      <c r="L22">
        <v>250</v>
      </c>
      <c r="M22">
        <v>0.47000000000000003</v>
      </c>
      <c r="N22" t="s">
        <v>84</v>
      </c>
    </row>
    <row r="23" spans="1:14" x14ac:dyDescent="0.2">
      <c r="A23" t="s">
        <v>28</v>
      </c>
      <c r="B23" s="2" t="s">
        <v>52</v>
      </c>
      <c r="C23" t="s">
        <v>53</v>
      </c>
      <c r="D23">
        <v>71.489999999999995</v>
      </c>
      <c r="E23">
        <v>76.136849999999995</v>
      </c>
      <c r="F23">
        <v>1</v>
      </c>
      <c r="G23" t="s">
        <v>31</v>
      </c>
      <c r="H23">
        <v>0.13</v>
      </c>
      <c r="I23" s="268">
        <v>86.034640499999981</v>
      </c>
      <c r="J23">
        <v>0.05</v>
      </c>
      <c r="K23" s="268">
        <v>90.336372524999987</v>
      </c>
      <c r="L23">
        <v>350</v>
      </c>
      <c r="M23">
        <v>0.26</v>
      </c>
      <c r="N23" t="s">
        <v>84</v>
      </c>
    </row>
    <row r="24" spans="1:14" x14ac:dyDescent="0.2">
      <c r="A24" t="s">
        <v>28</v>
      </c>
      <c r="B24" s="2" t="s">
        <v>54</v>
      </c>
      <c r="C24" t="s">
        <v>55</v>
      </c>
      <c r="D24">
        <v>74.790000000000006</v>
      </c>
      <c r="E24">
        <v>79.651350000000008</v>
      </c>
      <c r="F24">
        <v>1</v>
      </c>
      <c r="G24" t="s">
        <v>31</v>
      </c>
      <c r="H24">
        <v>0.13</v>
      </c>
      <c r="I24" s="268">
        <v>90.006025500000007</v>
      </c>
      <c r="J24">
        <v>0.05</v>
      </c>
      <c r="K24" s="268">
        <v>94.506326775000005</v>
      </c>
      <c r="L24">
        <v>300</v>
      </c>
      <c r="M24">
        <v>0.32</v>
      </c>
      <c r="N24" t="s">
        <v>84</v>
      </c>
    </row>
    <row r="25" spans="1:14" x14ac:dyDescent="0.2">
      <c r="A25" t="s">
        <v>13</v>
      </c>
      <c r="B25" s="2">
        <v>651252579</v>
      </c>
      <c r="C25" t="s">
        <v>14</v>
      </c>
      <c r="D25">
        <v>17</v>
      </c>
      <c r="E25">
        <v>18.105</v>
      </c>
      <c r="F25">
        <v>1</v>
      </c>
      <c r="G25" t="s">
        <v>15</v>
      </c>
      <c r="H25">
        <v>0.13</v>
      </c>
      <c r="I25" s="268">
        <v>20.458649999999999</v>
      </c>
      <c r="J25">
        <v>0.05</v>
      </c>
      <c r="K25" s="268">
        <v>21.481582499999998</v>
      </c>
      <c r="L25">
        <v>350</v>
      </c>
      <c r="M25">
        <v>6.9999999999999993E-2</v>
      </c>
      <c r="N25" t="s">
        <v>63</v>
      </c>
    </row>
    <row r="26" spans="1:14" x14ac:dyDescent="0.2">
      <c r="A26" t="s">
        <v>13</v>
      </c>
      <c r="B26" s="2">
        <v>650259195</v>
      </c>
      <c r="C26" t="s">
        <v>16</v>
      </c>
      <c r="D26">
        <v>22.67</v>
      </c>
      <c r="E26">
        <v>24.143550000000001</v>
      </c>
      <c r="F26">
        <v>1</v>
      </c>
      <c r="G26" t="s">
        <v>15</v>
      </c>
      <c r="H26">
        <v>0.13</v>
      </c>
      <c r="I26" s="268">
        <v>27.282211499999999</v>
      </c>
      <c r="J26">
        <v>0.05</v>
      </c>
      <c r="K26" s="268">
        <v>28.646322075</v>
      </c>
      <c r="L26">
        <v>350</v>
      </c>
      <c r="M26">
        <v>0.09</v>
      </c>
      <c r="N26" t="s">
        <v>63</v>
      </c>
    </row>
    <row r="27" spans="1:14" x14ac:dyDescent="0.2">
      <c r="A27" t="s">
        <v>28</v>
      </c>
      <c r="B27" s="2" t="s">
        <v>32</v>
      </c>
      <c r="C27" t="s">
        <v>33</v>
      </c>
      <c r="D27">
        <v>23.09</v>
      </c>
      <c r="E27">
        <v>24.59085</v>
      </c>
      <c r="F27">
        <v>1</v>
      </c>
      <c r="G27" t="s">
        <v>31</v>
      </c>
      <c r="H27">
        <v>0.13</v>
      </c>
      <c r="I27" s="268">
        <v>27.787660499999998</v>
      </c>
      <c r="J27">
        <v>0.05</v>
      </c>
      <c r="K27" s="268">
        <v>29.177043524999998</v>
      </c>
      <c r="L27">
        <v>400</v>
      </c>
      <c r="M27">
        <v>0.08</v>
      </c>
      <c r="N27" t="s">
        <v>63</v>
      </c>
    </row>
    <row r="28" spans="1:14" x14ac:dyDescent="0.2">
      <c r="A28" t="s">
        <v>28</v>
      </c>
      <c r="B28" s="2" t="s">
        <v>44</v>
      </c>
      <c r="C28" t="s">
        <v>45</v>
      </c>
      <c r="D28">
        <v>56.09</v>
      </c>
      <c r="E28">
        <v>59.735849999999999</v>
      </c>
      <c r="F28">
        <v>1</v>
      </c>
      <c r="G28" t="s">
        <v>31</v>
      </c>
      <c r="H28">
        <v>0.13</v>
      </c>
      <c r="I28" s="268">
        <v>67.501510499999995</v>
      </c>
      <c r="J28">
        <v>0.05</v>
      </c>
      <c r="K28" s="268">
        <v>70.876586024999995</v>
      </c>
      <c r="L28">
        <v>300</v>
      </c>
      <c r="M28">
        <v>0.24000000000000002</v>
      </c>
      <c r="N28" t="s">
        <v>63</v>
      </c>
    </row>
    <row r="29" spans="1:14" x14ac:dyDescent="0.2">
      <c r="A29" t="s">
        <v>79</v>
      </c>
      <c r="C29" t="s">
        <v>80</v>
      </c>
      <c r="D29">
        <v>98</v>
      </c>
      <c r="E29">
        <v>104.36999999999999</v>
      </c>
      <c r="F29">
        <v>1</v>
      </c>
      <c r="G29" t="s">
        <v>15</v>
      </c>
      <c r="H29">
        <v>0.13</v>
      </c>
      <c r="I29" s="268">
        <v>117.93809999999998</v>
      </c>
      <c r="J29">
        <v>0.05</v>
      </c>
      <c r="K29" s="268">
        <v>123.83500499999998</v>
      </c>
      <c r="L29">
        <v>350</v>
      </c>
      <c r="M29">
        <v>0.36</v>
      </c>
      <c r="N29" t="s">
        <v>63</v>
      </c>
    </row>
    <row r="30" spans="1:14" x14ac:dyDescent="0.2">
      <c r="I30" s="268"/>
      <c r="M30" s="119"/>
    </row>
    <row r="31" spans="1:14" x14ac:dyDescent="0.2">
      <c r="I31" s="268"/>
    </row>
  </sheetData>
  <mergeCells count="1">
    <mergeCell ref="R10:T10"/>
  </mergeCells>
  <phoneticPr fontId="6" type="noConversion"/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C8EEA-E094-4A24-B6F6-EB73013E2FFE}">
  <sheetPr codeName="Sheet4"/>
  <dimension ref="B2:K26"/>
  <sheetViews>
    <sheetView topLeftCell="B10" workbookViewId="0">
      <selection activeCell="K3" sqref="K3:K26"/>
    </sheetView>
  </sheetViews>
  <sheetFormatPr baseColWidth="10" defaultColWidth="8.83203125" defaultRowHeight="15" x14ac:dyDescent="0.2"/>
  <cols>
    <col min="1" max="1" width="3.83203125" customWidth="1"/>
    <col min="2" max="2" width="40.1640625" bestFit="1" customWidth="1"/>
    <col min="3" max="3" width="10" bestFit="1" customWidth="1"/>
    <col min="5" max="5" width="3.33203125" customWidth="1"/>
    <col min="7" max="7" width="2.83203125" customWidth="1"/>
    <col min="8" max="8" width="12.5" bestFit="1" customWidth="1"/>
    <col min="10" max="10" width="2.83203125" customWidth="1"/>
    <col min="11" max="11" width="37.6640625" customWidth="1"/>
  </cols>
  <sheetData>
    <row r="2" spans="2:11" x14ac:dyDescent="0.2">
      <c r="B2" s="11" t="s">
        <v>121</v>
      </c>
      <c r="C2" s="11" t="s">
        <v>122</v>
      </c>
      <c r="D2" t="s">
        <v>164</v>
      </c>
      <c r="F2" s="11" t="s">
        <v>137</v>
      </c>
      <c r="K2" s="3" t="s">
        <v>168</v>
      </c>
    </row>
    <row r="3" spans="2:11" x14ac:dyDescent="0.2">
      <c r="B3" t="s">
        <v>147</v>
      </c>
      <c r="C3" s="1">
        <v>0.45</v>
      </c>
      <c r="F3" t="s">
        <v>138</v>
      </c>
      <c r="H3" t="s">
        <v>150</v>
      </c>
      <c r="I3" s="1">
        <v>1.2</v>
      </c>
      <c r="K3" t="s">
        <v>182</v>
      </c>
    </row>
    <row r="4" spans="2:11" x14ac:dyDescent="0.2">
      <c r="B4" t="s">
        <v>148</v>
      </c>
      <c r="C4" s="1">
        <v>0.57999999999999996</v>
      </c>
      <c r="F4" t="s">
        <v>139</v>
      </c>
      <c r="K4" t="s">
        <v>174</v>
      </c>
    </row>
    <row r="5" spans="2:11" x14ac:dyDescent="0.2">
      <c r="B5" t="s">
        <v>149</v>
      </c>
      <c r="C5" s="1">
        <v>0.68</v>
      </c>
      <c r="K5" t="s">
        <v>180</v>
      </c>
    </row>
    <row r="6" spans="2:11" x14ac:dyDescent="0.2">
      <c r="K6" t="s">
        <v>183</v>
      </c>
    </row>
    <row r="7" spans="2:11" x14ac:dyDescent="0.2">
      <c r="B7" s="181"/>
      <c r="K7" t="s">
        <v>170</v>
      </c>
    </row>
    <row r="8" spans="2:11" x14ac:dyDescent="0.2">
      <c r="B8" s="181"/>
      <c r="K8" t="s">
        <v>215</v>
      </c>
    </row>
    <row r="9" spans="2:11" x14ac:dyDescent="0.2">
      <c r="B9" s="181"/>
      <c r="K9" t="s">
        <v>217</v>
      </c>
    </row>
    <row r="10" spans="2:11" x14ac:dyDescent="0.2">
      <c r="K10" t="s">
        <v>181</v>
      </c>
    </row>
    <row r="11" spans="2:11" x14ac:dyDescent="0.2">
      <c r="K11" t="s">
        <v>175</v>
      </c>
    </row>
    <row r="12" spans="2:11" x14ac:dyDescent="0.2">
      <c r="K12" t="s">
        <v>216</v>
      </c>
    </row>
    <row r="13" spans="2:11" x14ac:dyDescent="0.2">
      <c r="K13" t="s">
        <v>172</v>
      </c>
    </row>
    <row r="14" spans="2:11" x14ac:dyDescent="0.2">
      <c r="K14" t="s">
        <v>169</v>
      </c>
    </row>
    <row r="15" spans="2:11" x14ac:dyDescent="0.2">
      <c r="K15" t="s">
        <v>176</v>
      </c>
    </row>
    <row r="16" spans="2:11" x14ac:dyDescent="0.2">
      <c r="K16" t="s">
        <v>173</v>
      </c>
    </row>
    <row r="17" spans="11:11" x14ac:dyDescent="0.2">
      <c r="K17" t="s">
        <v>166</v>
      </c>
    </row>
    <row r="18" spans="11:11" x14ac:dyDescent="0.2">
      <c r="K18" t="s">
        <v>178</v>
      </c>
    </row>
    <row r="19" spans="11:11" x14ac:dyDescent="0.2">
      <c r="K19" t="s">
        <v>218</v>
      </c>
    </row>
    <row r="20" spans="11:11" x14ac:dyDescent="0.2">
      <c r="K20" t="s">
        <v>220</v>
      </c>
    </row>
    <row r="21" spans="11:11" x14ac:dyDescent="0.2">
      <c r="K21" t="s">
        <v>221</v>
      </c>
    </row>
    <row r="22" spans="11:11" x14ac:dyDescent="0.2">
      <c r="K22" t="s">
        <v>167</v>
      </c>
    </row>
    <row r="23" spans="11:11" x14ac:dyDescent="0.2">
      <c r="K23" t="s">
        <v>177</v>
      </c>
    </row>
    <row r="24" spans="11:11" x14ac:dyDescent="0.2">
      <c r="K24" t="s">
        <v>171</v>
      </c>
    </row>
    <row r="25" spans="11:11" x14ac:dyDescent="0.2">
      <c r="K25" t="s">
        <v>219</v>
      </c>
    </row>
    <row r="26" spans="11:11" x14ac:dyDescent="0.2">
      <c r="K26" t="s">
        <v>179</v>
      </c>
    </row>
  </sheetData>
  <sortState xmlns:xlrd2="http://schemas.microsoft.com/office/spreadsheetml/2017/richdata2" ref="K3:K26">
    <sortCondition ref="K3:K26"/>
  </sortState>
  <pageMargins left="0.7" right="0.7" top="0.75" bottom="0.75" header="0.3" footer="0.3"/>
  <pageSetup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857955-7199-4CDA-B93C-EF3AC0B064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ESTIMATE FORM</vt:lpstr>
      <vt:lpstr>Areas and paint</vt:lpstr>
      <vt:lpstr>Calculations</vt:lpstr>
      <vt:lpstr>Doors and accesories</vt:lpstr>
      <vt:lpstr>Pivot Finish wall</vt:lpstr>
      <vt:lpstr>Pivot Finish Ceiling</vt:lpstr>
      <vt:lpstr>Paint Unified</vt:lpstr>
      <vt:lpstr>List</vt:lpstr>
      <vt:lpstr>'ESTIMATE FORM'!Print_Area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Bonil</dc:creator>
  <cp:lastModifiedBy>Kiara Burcher</cp:lastModifiedBy>
  <cp:lastPrinted>2023-10-31T19:02:44Z</cp:lastPrinted>
  <dcterms:created xsi:type="dcterms:W3CDTF">2023-03-10T19:25:02Z</dcterms:created>
  <dcterms:modified xsi:type="dcterms:W3CDTF">2025-11-10T18:27:45Z</dcterms:modified>
</cp:coreProperties>
</file>