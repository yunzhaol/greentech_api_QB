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iki3/Desktop/Grad Year/MDA 9160/Industry Project/GreenTech-Project/Final/"/>
    </mc:Choice>
  </mc:AlternateContent>
  <xr:revisionPtr revIDLastSave="0" documentId="13_ncr:1_{F90AC340-95A8-F242-BE2B-516875F7425C}" xr6:coauthVersionLast="47" xr6:coauthVersionMax="47" xr10:uidLastSave="{00000000-0000-0000-0000-000000000000}"/>
  <bookViews>
    <workbookView xWindow="4340" yWindow="500" windowWidth="24460" windowHeight="16220" activeTab="1" xr2:uid="{F3036C40-BAC3-D843-8BD5-DCA0F2C45A0B}"/>
  </bookViews>
  <sheets>
    <sheet name="Rates_Master_Paint" sheetId="2" r:id="rId1"/>
    <sheet name="Paint_Prices" sheetId="3" r:id="rId2"/>
  </sheets>
  <definedNames>
    <definedName name="ExternalData_1" localSheetId="1" hidden="1">Paint_Prices!$A$1:$N$29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G4" i="2"/>
  <c r="G5" i="2"/>
  <c r="G6" i="2"/>
  <c r="G7" i="2"/>
  <c r="G8" i="2"/>
  <c r="G9" i="2"/>
  <c r="G10" i="2"/>
  <c r="G11" i="2"/>
  <c r="G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54D19-03A8-314F-9E99-598CDA49C7C7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</connections>
</file>

<file path=xl/sharedStrings.xml><?xml version="1.0" encoding="utf-8"?>
<sst xmlns="http://schemas.openxmlformats.org/spreadsheetml/2006/main" count="179" uniqueCount="86">
  <si>
    <t>per_ft</t>
  </si>
  <si>
    <t>Crownmolding</t>
  </si>
  <si>
    <t>accessory</t>
  </si>
  <si>
    <t>Baseboard</t>
  </si>
  <si>
    <t>per_door_1coat</t>
  </si>
  <si>
    <t>Bi-fold Metal man door</t>
  </si>
  <si>
    <t>door</t>
  </si>
  <si>
    <t>One and a half Metal man door</t>
  </si>
  <si>
    <t>Single Metal man door</t>
  </si>
  <si>
    <t>Bi-fold tall  wood door</t>
  </si>
  <si>
    <t>One and a half tall wood door</t>
  </si>
  <si>
    <t>Single tall wood door</t>
  </si>
  <si>
    <t>Bi-fold wood door</t>
  </si>
  <si>
    <t>One and a half wood door</t>
  </si>
  <si>
    <t>Single standard wood door</t>
  </si>
  <si>
    <t>Primer</t>
  </si>
  <si>
    <t>G</t>
  </si>
  <si>
    <t>Bin Shellac Primer</t>
  </si>
  <si>
    <t>Zinsser</t>
  </si>
  <si>
    <t xml:space="preserve">G </t>
  </si>
  <si>
    <t xml:space="preserve">Stix Urethane Acrylic Primer White </t>
  </si>
  <si>
    <t xml:space="preserve">SXA11009-01 </t>
  </si>
  <si>
    <t>Benjamin Moore</t>
  </si>
  <si>
    <t xml:space="preserve">K08200-001 </t>
  </si>
  <si>
    <t>PM 200 0 PRIMER Zero VOC Primer</t>
  </si>
  <si>
    <t>Sherwin Williams</t>
  </si>
  <si>
    <t>PVA INT PRMR WHITE Drywall Primer</t>
  </si>
  <si>
    <t>Finish</t>
  </si>
  <si>
    <t xml:space="preserve">Coronado Rust Scat Oil Accent Base </t>
  </si>
  <si>
    <t xml:space="preserve">13.36-001 </t>
  </si>
  <si>
    <t>Corotech Command Acrylic Urethane Satin</t>
  </si>
  <si>
    <t xml:space="preserve">V3922X-001 </t>
  </si>
  <si>
    <t xml:space="preserve">Aura Exterior Low Lustre Base 1 </t>
  </si>
  <si>
    <t xml:space="preserve">F6341X-001 </t>
  </si>
  <si>
    <t xml:space="preserve">Arborcoat Ext. Wb Stain Solid Base </t>
  </si>
  <si>
    <t xml:space="preserve">K6401X-001 </t>
  </si>
  <si>
    <t xml:space="preserve">Regal Select Ext Low Lustre Base 1 </t>
  </si>
  <si>
    <t xml:space="preserve">K4011X-001 </t>
  </si>
  <si>
    <t xml:space="preserve">Advance Wb Alkyd Pearl Base 1 </t>
  </si>
  <si>
    <t xml:space="preserve">K7921X-001 </t>
  </si>
  <si>
    <t xml:space="preserve">Regal Select Int Ulti-matte Base 1 </t>
  </si>
  <si>
    <t xml:space="preserve">F5521X-001 </t>
  </si>
  <si>
    <t xml:space="preserve">Scuff X Interior Pearl finish base 1 </t>
  </si>
  <si>
    <t xml:space="preserve">K4861X-001 </t>
  </si>
  <si>
    <t xml:space="preserve">Ultraspec Interior Low Sheen Base 1 </t>
  </si>
  <si>
    <t xml:space="preserve">F5371X-001 </t>
  </si>
  <si>
    <t>IND EN HS PUREWHT Industrial Enamel</t>
  </si>
  <si>
    <t>LXN XP EW Loxon XP</t>
  </si>
  <si>
    <t>DURATION FL EXTRA</t>
  </si>
  <si>
    <t>LATITUDE EXT FL EW</t>
  </si>
  <si>
    <t>SPR EXT FL EXTRA SuperPaint Ext</t>
  </si>
  <si>
    <t>CLRTP WBSTN WHT CAD Colour Top Ext Stain</t>
  </si>
  <si>
    <t>EMERALD IN FL EXTR Emerald interior</t>
  </si>
  <si>
    <t>SCUFF TUFF MT EW Scuff X Crossover</t>
  </si>
  <si>
    <t>SPR INT SA AIR EW SuperPaint Air</t>
  </si>
  <si>
    <t>PM200 HP 0 EG EW  Pro Mar 200 HP</t>
  </si>
  <si>
    <t>PM 200 0 FL EXTRA Pro Mar 200 Zero Voc Contractor grade</t>
  </si>
  <si>
    <t>Ceiling/Finish</t>
  </si>
  <si>
    <t xml:space="preserve">Aura Bath &amp; Spa Matte Base 1 </t>
  </si>
  <si>
    <t xml:space="preserve">K5321X-001 </t>
  </si>
  <si>
    <t>Ceiling</t>
  </si>
  <si>
    <t xml:space="preserve">Waterborne Ceiling Paint White </t>
  </si>
  <si>
    <t xml:space="preserve">K50809-001 </t>
  </si>
  <si>
    <t>PM 400 0 FL EXTRA Zero Voc Ceiling</t>
  </si>
  <si>
    <t>Application</t>
  </si>
  <si>
    <t>Price_Sf</t>
  </si>
  <si>
    <t>Coverage_Sf</t>
  </si>
  <si>
    <t>Tax</t>
  </si>
  <si>
    <t>U/M</t>
  </si>
  <si>
    <t>Quantity</t>
  </si>
  <si>
    <t>New_Price</t>
  </si>
  <si>
    <t>Unit_ Price</t>
  </si>
  <si>
    <t>Sales_Number</t>
  </si>
  <si>
    <t>Vendor</t>
  </si>
  <si>
    <t>Category</t>
  </si>
  <si>
    <t>Item Name</t>
  </si>
  <si>
    <t>Unit</t>
  </si>
  <si>
    <t>Area Sf Per Unit</t>
  </si>
  <si>
    <t>Labor Rate Sf</t>
  </si>
  <si>
    <t>Value Per Unit</t>
  </si>
  <si>
    <t>Paint Rate Sf</t>
  </si>
  <si>
    <t xml:space="preserve"> Margin</t>
  </si>
  <si>
    <t>Price_Customer</t>
  </si>
  <si>
    <t>Description</t>
  </si>
  <si>
    <t>Price_GT</t>
  </si>
  <si>
    <t>Step One Primer 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</si>
</sst>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5456796B-30B9-2341-B562-F2461261967D}" autoFormatId="16" applyNumberFormats="0" applyBorderFormats="0" applyFontFormats="0" applyPatternFormats="0" applyAlignmentFormats="0" applyWidthHeightFormats="0">
  <queryTableRefresh nextId="22">
    <queryTableFields count="14">
      <queryTableField id="1" name="Vendor" tableColumnId="1"/>
      <queryTableField id="2" name="Sales Number" tableColumnId="2"/>
      <queryTableField id="3" name=" Description " tableColumnId="3"/>
      <queryTableField id="4" name="Unit Price" tableColumnId="4"/>
      <queryTableField id="5" name="New Price" tableColumnId="5"/>
      <queryTableField id="6" name="Quantity" tableColumnId="6"/>
      <queryTableField id="7" name="U/M" tableColumnId="7"/>
      <queryTableField id="8" name="Tax" tableColumnId="8"/>
      <queryTableField id="9" name="Price GT" tableColumnId="9"/>
      <queryTableField id="10" name="% margin" tableColumnId="10"/>
      <queryTableField id="11" name="Price customer" tableColumnId="11"/>
      <queryTableField id="12" name="Coverage Sf" tableColumnId="12"/>
      <queryTableField id="13" name="Price Sf" tableColumnId="13"/>
      <queryTableField id="17" name="Applicacion" tableColumnId="17"/>
    </queryTableFields>
    <queryTableDeletedFields count="1">
      <deletedField name="Column15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8E36A-9154-7945-9D99-AFE35FFE068B}" name="Table2" displayName="Table2" ref="A1:G12" totalsRowShown="0">
  <autoFilter ref="A1:G12" xr:uid="{7B38E36A-9154-7945-9D99-AFE35FFE068B}"/>
  <tableColumns count="7">
    <tableColumn id="1" xr3:uid="{0FB05984-CB7E-3448-A996-214D935E630F}" name="Category"/>
    <tableColumn id="2" xr3:uid="{0E41FD5A-0DEF-C64F-832A-B95C648946DC}" name="Item Name" dataDxfId="3"/>
    <tableColumn id="3" xr3:uid="{242FC61F-8ADA-884F-9535-193FECA60197}" name="Unit"/>
    <tableColumn id="4" xr3:uid="{5567A79E-7C62-C64C-8C4E-8340654F99FB}" name="Area Sf Per Unit"/>
    <tableColumn id="5" xr3:uid="{31FE6165-1F9B-0A46-9314-F1874622416C}" name="Labor Rate Sf"/>
    <tableColumn id="6" xr3:uid="{F1358374-7D29-EC46-BDD9-1161953E40A0}" name="Paint Rate Sf"/>
    <tableColumn id="7" xr3:uid="{AB8BE24E-256D-044A-8D1E-61CEAD0B9CFF}" name="Value Per Unit">
      <calculatedColumnFormula>ROUND(D2*(E2+F2),2)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5047E-130F-B948-A219-C87AD4EF7C93}" name="Table_Paint_Unified" displayName="Table_Paint_Unified" ref="A1:N29" tableType="queryTable" totalsRowShown="0">
  <autoFilter ref="A1:N29" xr:uid="{54D3DD92-6173-474F-8468-F3DB26D8F332}"/>
  <tableColumns count="14">
    <tableColumn id="1" xr3:uid="{104C7C29-AFCA-E744-9253-4EFF5C5F4DE3}" uniqueName="1" name="Vendor" queryTableFieldId="1" dataDxfId="2"/>
    <tableColumn id="2" xr3:uid="{1DDF544C-DDE0-9B47-80B1-6B914C90DD99}" uniqueName="2" name="Sales_Number" queryTableFieldId="2"/>
    <tableColumn id="3" xr3:uid="{E493C4B9-ED7E-214D-8CD8-DFA60CEC65DF}" uniqueName="3" name="Description" queryTableFieldId="3" dataDxfId="1"/>
    <tableColumn id="4" xr3:uid="{D16CD9DA-5A57-A04C-8EE1-2C98A1431C9D}" uniqueName="4" name="Unit_ Price" queryTableFieldId="4"/>
    <tableColumn id="5" xr3:uid="{5AED60C6-89BA-5245-BF11-793183162B47}" uniqueName="5" name="New_Price" queryTableFieldId="5"/>
    <tableColumn id="6" xr3:uid="{059C76BC-B689-6848-9794-5A56C6E788FB}" uniqueName="6" name="Quantity" queryTableFieldId="6"/>
    <tableColumn id="7" xr3:uid="{5BB7CC12-8ED2-0E4A-A4BE-AD6840663468}" uniqueName="7" name="U/M" queryTableFieldId="7" dataDxfId="0"/>
    <tableColumn id="8" xr3:uid="{82DCB3B3-67E4-4145-8A51-44CFA13E7044}" uniqueName="8" name="Tax" queryTableFieldId="8"/>
    <tableColumn id="9" xr3:uid="{B3E7EC17-642E-E443-869D-234D5C54F1CB}" uniqueName="9" name="Price_GT" queryTableFieldId="9" dataCellStyle="Comma"/>
    <tableColumn id="10" xr3:uid="{6A47D02C-3F15-5C45-A532-803BAEC8B405}" uniqueName="10" name=" Margin" queryTableFieldId="10"/>
    <tableColumn id="11" xr3:uid="{22A3A209-0A16-5E4B-B972-857F03C453D3}" uniqueName="11" name="Price_Customer" queryTableFieldId="11" dataCellStyle="Comma"/>
    <tableColumn id="12" xr3:uid="{92233F23-EF16-5544-828D-EED7166D0333}" uniqueName="12" name="Coverage_Sf" queryTableFieldId="12"/>
    <tableColumn id="13" xr3:uid="{7702F954-DC0E-614A-B0AF-2B6F96D205BC}" uniqueName="13" name="Price_Sf" queryTableFieldId="13"/>
    <tableColumn id="17" xr3:uid="{51993EFC-6F37-A84C-AAA0-685B234705F6}" uniqueName="17" name="Application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7442-FB6F-BB4A-ABC5-C642E5625550}">
  <sheetPr codeName="Sheet1"/>
  <dimension ref="A1:G12"/>
  <sheetViews>
    <sheetView zoomScale="156" workbookViewId="0">
      <selection activeCell="C15" sqref="C15"/>
    </sheetView>
  </sheetViews>
  <sheetFormatPr baseColWidth="10" defaultRowHeight="16" x14ac:dyDescent="0.2"/>
  <cols>
    <col min="1" max="1" width="11" customWidth="1"/>
    <col min="2" max="2" width="35.33203125" customWidth="1"/>
    <col min="3" max="3" width="16.6640625" customWidth="1"/>
    <col min="4" max="4" width="15.6640625" customWidth="1"/>
    <col min="5" max="6" width="12.83203125" customWidth="1"/>
    <col min="7" max="7" width="14.1640625" customWidth="1"/>
  </cols>
  <sheetData>
    <row r="1" spans="1:7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80</v>
      </c>
      <c r="G1" t="s">
        <v>79</v>
      </c>
    </row>
    <row r="2" spans="1:7" x14ac:dyDescent="0.2">
      <c r="A2" t="s">
        <v>6</v>
      </c>
      <c r="B2" s="1" t="s">
        <v>14</v>
      </c>
      <c r="C2" t="s">
        <v>4</v>
      </c>
      <c r="D2">
        <v>42</v>
      </c>
      <c r="E2">
        <v>0.61</v>
      </c>
      <c r="F2">
        <v>0.22</v>
      </c>
      <c r="G2">
        <f t="shared" ref="G2:G12" si="0">ROUND(D2*(E2+F2),2)</f>
        <v>34.86</v>
      </c>
    </row>
    <row r="3" spans="1:7" x14ac:dyDescent="0.2">
      <c r="A3" t="s">
        <v>6</v>
      </c>
      <c r="B3" s="1" t="s">
        <v>13</v>
      </c>
      <c r="C3" t="s">
        <v>4</v>
      </c>
      <c r="D3">
        <v>63</v>
      </c>
      <c r="E3">
        <v>0.61</v>
      </c>
      <c r="F3">
        <v>0.22</v>
      </c>
      <c r="G3">
        <f>ROUND(D3*(E3+F3),2)</f>
        <v>52.29</v>
      </c>
    </row>
    <row r="4" spans="1:7" x14ac:dyDescent="0.2">
      <c r="A4" t="s">
        <v>6</v>
      </c>
      <c r="B4" s="1" t="s">
        <v>12</v>
      </c>
      <c r="C4" t="s">
        <v>4</v>
      </c>
      <c r="D4">
        <v>84</v>
      </c>
      <c r="E4">
        <v>0.61</v>
      </c>
      <c r="F4">
        <v>0.22</v>
      </c>
      <c r="G4">
        <f t="shared" si="0"/>
        <v>69.72</v>
      </c>
    </row>
    <row r="5" spans="1:7" x14ac:dyDescent="0.2">
      <c r="A5" t="s">
        <v>6</v>
      </c>
      <c r="B5" s="1" t="s">
        <v>11</v>
      </c>
      <c r="C5" t="s">
        <v>4</v>
      </c>
      <c r="D5">
        <v>54</v>
      </c>
      <c r="E5">
        <v>0.61</v>
      </c>
      <c r="F5">
        <v>0.22</v>
      </c>
      <c r="G5">
        <f t="shared" si="0"/>
        <v>44.82</v>
      </c>
    </row>
    <row r="6" spans="1:7" x14ac:dyDescent="0.2">
      <c r="A6" t="s">
        <v>6</v>
      </c>
      <c r="B6" s="1" t="s">
        <v>10</v>
      </c>
      <c r="C6" t="s">
        <v>4</v>
      </c>
      <c r="D6">
        <v>81</v>
      </c>
      <c r="E6">
        <v>0.61</v>
      </c>
      <c r="F6">
        <v>0.22</v>
      </c>
      <c r="G6">
        <f t="shared" si="0"/>
        <v>67.23</v>
      </c>
    </row>
    <row r="7" spans="1:7" x14ac:dyDescent="0.2">
      <c r="A7" t="s">
        <v>6</v>
      </c>
      <c r="B7" s="1" t="s">
        <v>9</v>
      </c>
      <c r="C7" t="s">
        <v>4</v>
      </c>
      <c r="D7">
        <v>108</v>
      </c>
      <c r="E7">
        <v>0.61</v>
      </c>
      <c r="F7">
        <v>0.22</v>
      </c>
      <c r="G7">
        <f t="shared" si="0"/>
        <v>89.64</v>
      </c>
    </row>
    <row r="8" spans="1:7" x14ac:dyDescent="0.2">
      <c r="A8" t="s">
        <v>6</v>
      </c>
      <c r="B8" s="1" t="s">
        <v>8</v>
      </c>
      <c r="C8" t="s">
        <v>4</v>
      </c>
      <c r="D8">
        <v>42</v>
      </c>
      <c r="E8">
        <v>1.3</v>
      </c>
      <c r="F8">
        <v>0.33</v>
      </c>
      <c r="G8">
        <f t="shared" si="0"/>
        <v>68.459999999999994</v>
      </c>
    </row>
    <row r="9" spans="1:7" x14ac:dyDescent="0.2">
      <c r="A9" t="s">
        <v>6</v>
      </c>
      <c r="B9" s="1" t="s">
        <v>7</v>
      </c>
      <c r="C9" t="s">
        <v>4</v>
      </c>
      <c r="D9">
        <v>63</v>
      </c>
      <c r="E9">
        <v>1.3</v>
      </c>
      <c r="F9">
        <v>0.33</v>
      </c>
      <c r="G9">
        <f t="shared" si="0"/>
        <v>102.69</v>
      </c>
    </row>
    <row r="10" spans="1:7" x14ac:dyDescent="0.2">
      <c r="A10" t="s">
        <v>6</v>
      </c>
      <c r="B10" s="1" t="s">
        <v>5</v>
      </c>
      <c r="C10" t="s">
        <v>4</v>
      </c>
      <c r="D10">
        <v>84</v>
      </c>
      <c r="E10">
        <v>1.3</v>
      </c>
      <c r="F10">
        <v>0.33</v>
      </c>
      <c r="G10">
        <f t="shared" si="0"/>
        <v>136.91999999999999</v>
      </c>
    </row>
    <row r="11" spans="1:7" x14ac:dyDescent="0.2">
      <c r="A11" t="s">
        <v>2</v>
      </c>
      <c r="B11" s="1" t="s">
        <v>3</v>
      </c>
      <c r="C11" t="s">
        <v>0</v>
      </c>
      <c r="D11">
        <v>0.67</v>
      </c>
      <c r="E11">
        <v>1.5</v>
      </c>
      <c r="F11">
        <v>0.22</v>
      </c>
      <c r="G11">
        <f t="shared" si="0"/>
        <v>1.1499999999999999</v>
      </c>
    </row>
    <row r="12" spans="1:7" x14ac:dyDescent="0.2">
      <c r="A12" t="s">
        <v>2</v>
      </c>
      <c r="B12" s="1" t="s">
        <v>1</v>
      </c>
      <c r="C12" t="s">
        <v>0</v>
      </c>
      <c r="D12">
        <v>0.71</v>
      </c>
      <c r="E12">
        <v>2.5</v>
      </c>
      <c r="F12">
        <v>0.22</v>
      </c>
      <c r="G12">
        <f t="shared" si="0"/>
        <v>1.93</v>
      </c>
    </row>
  </sheetData>
  <dataValidations count="1">
    <dataValidation type="list" allowBlank="1" showDropDown="1" showInputMessage="1" showErrorMessage="1" sqref="A2:A12" xr:uid="{CB0B41FA-7836-DD42-A9C0-3BE7DA869933}">
      <formula1>"door, accessory"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3241-F3CC-5D40-B5E1-28488E945C39}">
  <sheetPr codeName="Sheet2"/>
  <dimension ref="A1:N30"/>
  <sheetViews>
    <sheetView tabSelected="1" workbookViewId="0">
      <selection activeCell="C28" sqref="C28"/>
    </sheetView>
  </sheetViews>
  <sheetFormatPr baseColWidth="10" defaultRowHeight="16" x14ac:dyDescent="0.2"/>
  <cols>
    <col min="2" max="2" width="20.33203125" customWidth="1"/>
    <col min="3" max="3" width="50.33203125" customWidth="1"/>
    <col min="14" max="14" width="15.83203125" customWidth="1"/>
  </cols>
  <sheetData>
    <row r="1" spans="1:14" x14ac:dyDescent="0.2">
      <c r="A1" t="s">
        <v>73</v>
      </c>
      <c r="B1" t="s">
        <v>72</v>
      </c>
      <c r="C1" t="s">
        <v>83</v>
      </c>
      <c r="D1" t="s">
        <v>71</v>
      </c>
      <c r="E1" t="s">
        <v>70</v>
      </c>
      <c r="F1" t="s">
        <v>69</v>
      </c>
      <c r="G1" t="s">
        <v>68</v>
      </c>
      <c r="H1" t="s">
        <v>67</v>
      </c>
      <c r="I1" t="s">
        <v>84</v>
      </c>
      <c r="J1" t="s">
        <v>81</v>
      </c>
      <c r="K1" s="2" t="s">
        <v>82</v>
      </c>
      <c r="L1" t="s">
        <v>66</v>
      </c>
      <c r="M1" t="s">
        <v>65</v>
      </c>
      <c r="N1" t="s">
        <v>64</v>
      </c>
    </row>
    <row r="2" spans="1:14" x14ac:dyDescent="0.2">
      <c r="A2" t="s">
        <v>25</v>
      </c>
      <c r="B2" s="3">
        <v>650362817</v>
      </c>
      <c r="C2" t="s">
        <v>63</v>
      </c>
      <c r="D2">
        <v>26.54</v>
      </c>
      <c r="E2">
        <v>28.265099999999997</v>
      </c>
      <c r="F2">
        <v>1</v>
      </c>
      <c r="G2" t="s">
        <v>16</v>
      </c>
      <c r="H2">
        <v>0.13</v>
      </c>
      <c r="I2" s="2">
        <v>31.939562999999993</v>
      </c>
      <c r="J2">
        <v>0.05</v>
      </c>
      <c r="K2" s="2">
        <v>33.536541149999991</v>
      </c>
      <c r="L2">
        <v>300</v>
      </c>
      <c r="M2">
        <v>0.12</v>
      </c>
      <c r="N2" t="s">
        <v>60</v>
      </c>
    </row>
    <row r="3" spans="1:14" x14ac:dyDescent="0.2">
      <c r="A3" t="s">
        <v>22</v>
      </c>
      <c r="B3" s="3" t="s">
        <v>62</v>
      </c>
      <c r="C3" t="s">
        <v>61</v>
      </c>
      <c r="D3">
        <v>51.69</v>
      </c>
      <c r="E3">
        <v>55.049849999999992</v>
      </c>
      <c r="F3">
        <v>1</v>
      </c>
      <c r="G3" t="s">
        <v>19</v>
      </c>
      <c r="H3">
        <v>0.13</v>
      </c>
      <c r="I3" s="2">
        <v>62.206330499999986</v>
      </c>
      <c r="J3">
        <v>0.05</v>
      </c>
      <c r="K3" s="2">
        <v>65.316647024999995</v>
      </c>
      <c r="L3">
        <v>400</v>
      </c>
      <c r="M3">
        <v>0.17</v>
      </c>
      <c r="N3" t="s">
        <v>60</v>
      </c>
    </row>
    <row r="4" spans="1:14" x14ac:dyDescent="0.2">
      <c r="A4" t="s">
        <v>22</v>
      </c>
      <c r="B4" s="3" t="s">
        <v>59</v>
      </c>
      <c r="C4" t="s">
        <v>58</v>
      </c>
      <c r="D4">
        <v>87.99</v>
      </c>
      <c r="E4">
        <v>93.709349999999986</v>
      </c>
      <c r="F4">
        <v>1</v>
      </c>
      <c r="G4" t="s">
        <v>19</v>
      </c>
      <c r="H4">
        <v>0.13</v>
      </c>
      <c r="I4" s="2">
        <v>105.89156549999997</v>
      </c>
      <c r="J4">
        <v>0.05</v>
      </c>
      <c r="K4" s="2">
        <v>111.18614377499998</v>
      </c>
      <c r="L4">
        <v>350</v>
      </c>
      <c r="M4">
        <v>0.32</v>
      </c>
      <c r="N4" t="s">
        <v>57</v>
      </c>
    </row>
    <row r="5" spans="1:14" x14ac:dyDescent="0.2">
      <c r="A5" t="s">
        <v>25</v>
      </c>
      <c r="B5" s="3">
        <v>650946627</v>
      </c>
      <c r="C5" t="s">
        <v>56</v>
      </c>
      <c r="D5">
        <v>31.69</v>
      </c>
      <c r="E5">
        <v>33.749850000000002</v>
      </c>
      <c r="F5">
        <v>1</v>
      </c>
      <c r="G5" t="s">
        <v>16</v>
      </c>
      <c r="H5">
        <v>0.13</v>
      </c>
      <c r="I5" s="2">
        <v>38.137330499999997</v>
      </c>
      <c r="J5">
        <v>0.05</v>
      </c>
      <c r="K5" s="2">
        <v>40.044197024999995</v>
      </c>
      <c r="L5">
        <v>300</v>
      </c>
      <c r="M5">
        <v>0.14000000000000001</v>
      </c>
      <c r="N5" t="s">
        <v>27</v>
      </c>
    </row>
    <row r="6" spans="1:14" x14ac:dyDescent="0.2">
      <c r="A6" t="s">
        <v>25</v>
      </c>
      <c r="B6" s="3">
        <v>650991565</v>
      </c>
      <c r="C6" t="s">
        <v>55</v>
      </c>
      <c r="D6">
        <v>40.49</v>
      </c>
      <c r="E6">
        <v>43.121850000000002</v>
      </c>
      <c r="F6">
        <v>1</v>
      </c>
      <c r="G6" t="s">
        <v>16</v>
      </c>
      <c r="H6">
        <v>0.13</v>
      </c>
      <c r="I6" s="2">
        <v>48.727690499999994</v>
      </c>
      <c r="J6">
        <v>0.05</v>
      </c>
      <c r="K6" s="2">
        <v>51.164075024999995</v>
      </c>
      <c r="L6">
        <v>300</v>
      </c>
      <c r="M6">
        <v>0.18000000000000002</v>
      </c>
      <c r="N6" t="s">
        <v>27</v>
      </c>
    </row>
    <row r="7" spans="1:14" x14ac:dyDescent="0.2">
      <c r="A7" t="s">
        <v>25</v>
      </c>
      <c r="B7" s="3">
        <v>651189276</v>
      </c>
      <c r="C7" t="s">
        <v>54</v>
      </c>
      <c r="D7">
        <v>52.68</v>
      </c>
      <c r="E7">
        <v>56.104199999999999</v>
      </c>
      <c r="F7">
        <v>1</v>
      </c>
      <c r="G7" t="s">
        <v>16</v>
      </c>
      <c r="H7">
        <v>0.13</v>
      </c>
      <c r="I7" s="2">
        <v>63.397745999999991</v>
      </c>
      <c r="J7">
        <v>0.05</v>
      </c>
      <c r="K7" s="2">
        <v>66.567633299999997</v>
      </c>
      <c r="L7">
        <v>300</v>
      </c>
      <c r="M7">
        <v>0.23</v>
      </c>
      <c r="N7" t="s">
        <v>27</v>
      </c>
    </row>
    <row r="8" spans="1:14" x14ac:dyDescent="0.2">
      <c r="A8" t="s">
        <v>25</v>
      </c>
      <c r="B8" s="3">
        <v>651203143</v>
      </c>
      <c r="C8" t="s">
        <v>53</v>
      </c>
      <c r="D8">
        <v>54</v>
      </c>
      <c r="E8">
        <v>57.51</v>
      </c>
      <c r="F8">
        <v>1</v>
      </c>
      <c r="G8" t="s">
        <v>16</v>
      </c>
      <c r="H8">
        <v>0.13</v>
      </c>
      <c r="I8" s="2">
        <v>64.986299999999986</v>
      </c>
      <c r="J8">
        <v>0.05</v>
      </c>
      <c r="K8" s="2">
        <v>68.235614999999981</v>
      </c>
      <c r="L8">
        <v>300</v>
      </c>
      <c r="M8">
        <v>0.23</v>
      </c>
      <c r="N8" t="s">
        <v>27</v>
      </c>
    </row>
    <row r="9" spans="1:14" x14ac:dyDescent="0.2">
      <c r="A9" t="s">
        <v>25</v>
      </c>
      <c r="B9" s="3">
        <v>651016966</v>
      </c>
      <c r="C9" t="s">
        <v>52</v>
      </c>
      <c r="D9">
        <v>60.19</v>
      </c>
      <c r="E9">
        <v>64.102350000000001</v>
      </c>
      <c r="F9">
        <v>1</v>
      </c>
      <c r="G9" t="s">
        <v>16</v>
      </c>
      <c r="H9">
        <v>0.13</v>
      </c>
      <c r="I9" s="2">
        <v>72.435655499999996</v>
      </c>
      <c r="J9">
        <v>0.05</v>
      </c>
      <c r="K9" s="2">
        <v>76.057438274999996</v>
      </c>
      <c r="L9">
        <v>300</v>
      </c>
      <c r="M9">
        <v>0.26</v>
      </c>
      <c r="N9" t="s">
        <v>27</v>
      </c>
    </row>
    <row r="10" spans="1:14" x14ac:dyDescent="0.2">
      <c r="A10" t="s">
        <v>25</v>
      </c>
      <c r="B10" s="3">
        <v>650932056</v>
      </c>
      <c r="C10" t="s">
        <v>51</v>
      </c>
      <c r="D10">
        <v>40.53</v>
      </c>
      <c r="E10">
        <v>43.164450000000002</v>
      </c>
      <c r="F10">
        <v>1</v>
      </c>
      <c r="G10" t="s">
        <v>16</v>
      </c>
      <c r="H10">
        <v>0.13</v>
      </c>
      <c r="I10" s="2">
        <v>48.775828499999996</v>
      </c>
      <c r="J10">
        <v>0.05</v>
      </c>
      <c r="K10" s="2">
        <v>51.214619925000001</v>
      </c>
      <c r="L10">
        <v>100</v>
      </c>
      <c r="M10">
        <v>0.52</v>
      </c>
      <c r="N10" t="s">
        <v>27</v>
      </c>
    </row>
    <row r="11" spans="1:14" x14ac:dyDescent="0.2">
      <c r="A11" t="s">
        <v>25</v>
      </c>
      <c r="B11" s="3">
        <v>650952435</v>
      </c>
      <c r="C11" t="s">
        <v>50</v>
      </c>
      <c r="D11">
        <v>51.52</v>
      </c>
      <c r="E11">
        <v>54.8688</v>
      </c>
      <c r="F11">
        <v>1</v>
      </c>
      <c r="G11" t="s">
        <v>16</v>
      </c>
      <c r="H11">
        <v>0.13</v>
      </c>
      <c r="I11" s="2">
        <v>62.001743999999995</v>
      </c>
      <c r="J11">
        <v>0.05</v>
      </c>
      <c r="K11" s="2">
        <v>65.101831199999992</v>
      </c>
      <c r="L11">
        <v>300</v>
      </c>
      <c r="M11">
        <v>0.22</v>
      </c>
      <c r="N11" t="s">
        <v>27</v>
      </c>
    </row>
    <row r="12" spans="1:14" x14ac:dyDescent="0.2">
      <c r="A12" t="s">
        <v>25</v>
      </c>
      <c r="B12" s="3">
        <v>651201725</v>
      </c>
      <c r="C12" t="s">
        <v>49</v>
      </c>
      <c r="D12">
        <v>59.89</v>
      </c>
      <c r="E12">
        <v>63.782849999999996</v>
      </c>
      <c r="F12">
        <v>1</v>
      </c>
      <c r="G12" t="s">
        <v>16</v>
      </c>
      <c r="H12">
        <v>0.13</v>
      </c>
      <c r="I12" s="2">
        <v>72.074620499999995</v>
      </c>
      <c r="J12">
        <v>0.05</v>
      </c>
      <c r="K12" s="2">
        <v>75.678351524999997</v>
      </c>
      <c r="L12">
        <v>300</v>
      </c>
      <c r="M12">
        <v>0.26</v>
      </c>
      <c r="N12" t="s">
        <v>27</v>
      </c>
    </row>
    <row r="13" spans="1:14" x14ac:dyDescent="0.2">
      <c r="A13" t="s">
        <v>25</v>
      </c>
      <c r="B13" s="3">
        <v>651254559</v>
      </c>
      <c r="C13" t="s">
        <v>48</v>
      </c>
      <c r="D13">
        <v>63.5</v>
      </c>
      <c r="E13">
        <v>67.627499999999998</v>
      </c>
      <c r="F13">
        <v>1</v>
      </c>
      <c r="G13" t="s">
        <v>16</v>
      </c>
      <c r="H13">
        <v>0.13</v>
      </c>
      <c r="I13" s="2">
        <v>76.419074999999992</v>
      </c>
      <c r="J13">
        <v>0.05</v>
      </c>
      <c r="K13" s="2">
        <v>80.240028749999993</v>
      </c>
      <c r="L13">
        <v>250</v>
      </c>
      <c r="M13">
        <v>0.33</v>
      </c>
      <c r="N13" t="s">
        <v>27</v>
      </c>
    </row>
    <row r="14" spans="1:14" x14ac:dyDescent="0.2">
      <c r="A14" t="s">
        <v>25</v>
      </c>
      <c r="B14" s="3">
        <v>651032815</v>
      </c>
      <c r="C14" t="s">
        <v>47</v>
      </c>
      <c r="D14">
        <v>67.58</v>
      </c>
      <c r="E14">
        <v>71.972699999999989</v>
      </c>
      <c r="F14">
        <v>1</v>
      </c>
      <c r="G14" t="s">
        <v>16</v>
      </c>
      <c r="H14">
        <v>0.13</v>
      </c>
      <c r="I14" s="2">
        <v>81.329150999999982</v>
      </c>
      <c r="J14">
        <v>0.05</v>
      </c>
      <c r="K14" s="2">
        <v>85.395608549999992</v>
      </c>
      <c r="L14">
        <v>85</v>
      </c>
      <c r="M14">
        <v>1.01</v>
      </c>
      <c r="N14" t="s">
        <v>27</v>
      </c>
    </row>
    <row r="15" spans="1:14" x14ac:dyDescent="0.2">
      <c r="A15" t="s">
        <v>25</v>
      </c>
      <c r="B15" s="3">
        <v>640118600</v>
      </c>
      <c r="C15" t="s">
        <v>46</v>
      </c>
      <c r="D15">
        <v>55.59</v>
      </c>
      <c r="E15">
        <v>59.20335</v>
      </c>
      <c r="F15">
        <v>1</v>
      </c>
      <c r="G15" t="s">
        <v>16</v>
      </c>
      <c r="H15">
        <v>0.13</v>
      </c>
      <c r="I15" s="2">
        <v>66.899785499999993</v>
      </c>
      <c r="J15">
        <v>0.05</v>
      </c>
      <c r="K15" s="2">
        <v>70.244774774999996</v>
      </c>
      <c r="L15">
        <v>230</v>
      </c>
      <c r="M15">
        <v>0.31</v>
      </c>
      <c r="N15" t="s">
        <v>27</v>
      </c>
    </row>
    <row r="16" spans="1:14" x14ac:dyDescent="0.2">
      <c r="A16" t="s">
        <v>22</v>
      </c>
      <c r="B16" s="3" t="s">
        <v>45</v>
      </c>
      <c r="C16" t="s">
        <v>44</v>
      </c>
      <c r="D16">
        <v>31.4</v>
      </c>
      <c r="E16">
        <v>33.440999999999995</v>
      </c>
      <c r="F16">
        <v>1</v>
      </c>
      <c r="G16" t="s">
        <v>19</v>
      </c>
      <c r="H16">
        <v>0.13</v>
      </c>
      <c r="I16" s="2">
        <v>37.788329999999988</v>
      </c>
      <c r="J16">
        <v>0.05</v>
      </c>
      <c r="K16" s="2">
        <v>39.677746499999991</v>
      </c>
      <c r="L16">
        <v>350</v>
      </c>
      <c r="M16">
        <v>0.12</v>
      </c>
      <c r="N16" t="s">
        <v>27</v>
      </c>
    </row>
    <row r="17" spans="1:14" x14ac:dyDescent="0.2">
      <c r="A17" t="s">
        <v>22</v>
      </c>
      <c r="B17" s="3" t="s">
        <v>43</v>
      </c>
      <c r="C17" t="s">
        <v>42</v>
      </c>
      <c r="D17">
        <v>57.74</v>
      </c>
      <c r="E17">
        <v>61.493099999999998</v>
      </c>
      <c r="F17">
        <v>1</v>
      </c>
      <c r="G17" t="s">
        <v>19</v>
      </c>
      <c r="H17">
        <v>0.13</v>
      </c>
      <c r="I17" s="2">
        <v>69.487202999999994</v>
      </c>
      <c r="J17">
        <v>0.05</v>
      </c>
      <c r="K17" s="2">
        <v>72.961563150000003</v>
      </c>
      <c r="L17">
        <v>350</v>
      </c>
      <c r="M17">
        <v>0.21000000000000002</v>
      </c>
      <c r="N17" t="s">
        <v>27</v>
      </c>
    </row>
    <row r="18" spans="1:14" x14ac:dyDescent="0.2">
      <c r="A18" t="s">
        <v>22</v>
      </c>
      <c r="B18" s="3" t="s">
        <v>41</v>
      </c>
      <c r="C18" t="s">
        <v>40</v>
      </c>
      <c r="D18">
        <v>62.39</v>
      </c>
      <c r="E18">
        <v>66.445349999999991</v>
      </c>
      <c r="F18">
        <v>1</v>
      </c>
      <c r="G18" t="s">
        <v>19</v>
      </c>
      <c r="H18">
        <v>0.13</v>
      </c>
      <c r="I18" s="2">
        <v>75.083245499999975</v>
      </c>
      <c r="J18">
        <v>0.05</v>
      </c>
      <c r="K18" s="2">
        <v>78.837407774999974</v>
      </c>
      <c r="L18">
        <v>400</v>
      </c>
      <c r="M18">
        <v>0.2</v>
      </c>
      <c r="N18" t="s">
        <v>27</v>
      </c>
    </row>
    <row r="19" spans="1:14" x14ac:dyDescent="0.2">
      <c r="A19" t="s">
        <v>22</v>
      </c>
      <c r="B19" s="3" t="s">
        <v>39</v>
      </c>
      <c r="C19" t="s">
        <v>38</v>
      </c>
      <c r="D19">
        <v>65.989999999999995</v>
      </c>
      <c r="E19">
        <v>70.279349999999994</v>
      </c>
      <c r="F19">
        <v>1</v>
      </c>
      <c r="G19" t="s">
        <v>19</v>
      </c>
      <c r="H19">
        <v>0.13</v>
      </c>
      <c r="I19" s="2">
        <v>79.415665499999989</v>
      </c>
      <c r="J19">
        <v>0.05</v>
      </c>
      <c r="K19" s="2">
        <v>83.386448774999991</v>
      </c>
      <c r="L19">
        <v>400</v>
      </c>
      <c r="M19">
        <v>0.21000000000000002</v>
      </c>
      <c r="N19" t="s">
        <v>27</v>
      </c>
    </row>
    <row r="20" spans="1:14" x14ac:dyDescent="0.2">
      <c r="A20" t="s">
        <v>22</v>
      </c>
      <c r="B20" s="3" t="s">
        <v>37</v>
      </c>
      <c r="C20" t="s">
        <v>36</v>
      </c>
      <c r="D20">
        <v>83.59</v>
      </c>
      <c r="E20">
        <v>89.023349999999994</v>
      </c>
      <c r="F20">
        <v>1</v>
      </c>
      <c r="G20" t="s">
        <v>19</v>
      </c>
      <c r="H20">
        <v>0.13</v>
      </c>
      <c r="I20" s="2">
        <v>100.59638549999998</v>
      </c>
      <c r="J20">
        <v>0.05</v>
      </c>
      <c r="K20" s="2">
        <v>105.62620477499999</v>
      </c>
      <c r="L20">
        <v>250</v>
      </c>
      <c r="M20">
        <v>0.43</v>
      </c>
      <c r="N20" t="s">
        <v>27</v>
      </c>
    </row>
    <row r="21" spans="1:14" x14ac:dyDescent="0.2">
      <c r="A21" t="s">
        <v>22</v>
      </c>
      <c r="B21" s="3" t="s">
        <v>35</v>
      </c>
      <c r="C21" t="s">
        <v>34</v>
      </c>
      <c r="D21">
        <v>63.79</v>
      </c>
      <c r="E21">
        <v>67.93634999999999</v>
      </c>
      <c r="F21">
        <v>1</v>
      </c>
      <c r="G21" t="s">
        <v>19</v>
      </c>
      <c r="H21">
        <v>0.13</v>
      </c>
      <c r="I21" s="2">
        <v>76.768075499999981</v>
      </c>
      <c r="J21">
        <v>0.05</v>
      </c>
      <c r="K21" s="2">
        <v>80.606479274999984</v>
      </c>
      <c r="L21">
        <v>300</v>
      </c>
      <c r="M21">
        <v>0.27</v>
      </c>
      <c r="N21" t="s">
        <v>27</v>
      </c>
    </row>
    <row r="22" spans="1:14" x14ac:dyDescent="0.2">
      <c r="A22" t="s">
        <v>22</v>
      </c>
      <c r="B22" s="3" t="s">
        <v>33</v>
      </c>
      <c r="C22" t="s">
        <v>32</v>
      </c>
      <c r="D22">
        <v>91.29</v>
      </c>
      <c r="E22">
        <v>97.223849999999999</v>
      </c>
      <c r="F22">
        <v>1</v>
      </c>
      <c r="G22" t="s">
        <v>19</v>
      </c>
      <c r="H22">
        <v>0.13</v>
      </c>
      <c r="I22" s="2">
        <v>109.86295049999998</v>
      </c>
      <c r="J22">
        <v>0.05</v>
      </c>
      <c r="K22" s="2">
        <v>115.35609802499998</v>
      </c>
      <c r="L22">
        <v>250</v>
      </c>
      <c r="M22">
        <v>0.47000000000000003</v>
      </c>
      <c r="N22" t="s">
        <v>27</v>
      </c>
    </row>
    <row r="23" spans="1:14" x14ac:dyDescent="0.2">
      <c r="A23" t="s">
        <v>22</v>
      </c>
      <c r="B23" s="3" t="s">
        <v>31</v>
      </c>
      <c r="C23" t="s">
        <v>30</v>
      </c>
      <c r="D23">
        <v>71.489999999999995</v>
      </c>
      <c r="E23">
        <v>76.136849999999995</v>
      </c>
      <c r="F23">
        <v>1</v>
      </c>
      <c r="G23" t="s">
        <v>19</v>
      </c>
      <c r="H23">
        <v>0.13</v>
      </c>
      <c r="I23" s="2">
        <v>86.034640499999981</v>
      </c>
      <c r="J23">
        <v>0.05</v>
      </c>
      <c r="K23" s="2">
        <v>90.336372524999987</v>
      </c>
      <c r="L23">
        <v>350</v>
      </c>
      <c r="M23">
        <v>0.26</v>
      </c>
      <c r="N23" t="s">
        <v>27</v>
      </c>
    </row>
    <row r="24" spans="1:14" x14ac:dyDescent="0.2">
      <c r="A24" t="s">
        <v>22</v>
      </c>
      <c r="B24" s="3" t="s">
        <v>29</v>
      </c>
      <c r="C24" t="s">
        <v>28</v>
      </c>
      <c r="D24">
        <v>74.790000000000006</v>
      </c>
      <c r="E24">
        <v>79.651350000000008</v>
      </c>
      <c r="F24">
        <v>1</v>
      </c>
      <c r="G24" t="s">
        <v>19</v>
      </c>
      <c r="H24">
        <v>0.13</v>
      </c>
      <c r="I24" s="2">
        <v>90.006025500000007</v>
      </c>
      <c r="J24">
        <v>0.05</v>
      </c>
      <c r="K24" s="2">
        <v>94.506326775000005</v>
      </c>
      <c r="L24">
        <v>300</v>
      </c>
      <c r="M24">
        <v>0.32</v>
      </c>
      <c r="N24" t="s">
        <v>27</v>
      </c>
    </row>
    <row r="25" spans="1:14" x14ac:dyDescent="0.2">
      <c r="A25" t="s">
        <v>25</v>
      </c>
      <c r="B25" s="3">
        <v>651252579</v>
      </c>
      <c r="C25" t="s">
        <v>26</v>
      </c>
      <c r="D25">
        <v>17</v>
      </c>
      <c r="E25">
        <v>18.105</v>
      </c>
      <c r="F25">
        <v>1</v>
      </c>
      <c r="G25" t="s">
        <v>16</v>
      </c>
      <c r="H25">
        <v>0.13</v>
      </c>
      <c r="I25" s="2">
        <v>20.458649999999999</v>
      </c>
      <c r="J25">
        <v>0.05</v>
      </c>
      <c r="K25" s="2">
        <v>21.481582499999998</v>
      </c>
      <c r="L25">
        <v>350</v>
      </c>
      <c r="M25">
        <v>6.9999999999999993E-2</v>
      </c>
      <c r="N25" t="s">
        <v>15</v>
      </c>
    </row>
    <row r="26" spans="1:14" x14ac:dyDescent="0.2">
      <c r="A26" t="s">
        <v>25</v>
      </c>
      <c r="B26" s="3">
        <v>650259195</v>
      </c>
      <c r="C26" t="s">
        <v>24</v>
      </c>
      <c r="D26">
        <v>22.67</v>
      </c>
      <c r="E26">
        <v>24.143550000000001</v>
      </c>
      <c r="F26">
        <v>1</v>
      </c>
      <c r="G26" t="s">
        <v>16</v>
      </c>
      <c r="H26">
        <v>0.13</v>
      </c>
      <c r="I26" s="2">
        <v>27.282211499999999</v>
      </c>
      <c r="J26">
        <v>0.05</v>
      </c>
      <c r="K26" s="2">
        <v>28.646322075</v>
      </c>
      <c r="L26">
        <v>350</v>
      </c>
      <c r="M26">
        <v>0.09</v>
      </c>
      <c r="N26" t="s">
        <v>15</v>
      </c>
    </row>
    <row r="27" spans="1:14" x14ac:dyDescent="0.2">
      <c r="A27" t="s">
        <v>22</v>
      </c>
      <c r="B27" s="3" t="s">
        <v>23</v>
      </c>
      <c r="C27" t="s">
        <v>85</v>
      </c>
      <c r="D27">
        <v>23.09</v>
      </c>
      <c r="E27">
        <v>24.59085</v>
      </c>
      <c r="F27">
        <v>1</v>
      </c>
      <c r="G27" t="s">
        <v>19</v>
      </c>
      <c r="H27">
        <v>0.13</v>
      </c>
      <c r="I27" s="2">
        <v>27.787660499999998</v>
      </c>
      <c r="J27">
        <v>0.05</v>
      </c>
      <c r="K27" s="2">
        <v>29.177043524999998</v>
      </c>
      <c r="L27">
        <v>400</v>
      </c>
      <c r="M27">
        <v>0.08</v>
      </c>
      <c r="N27" t="s">
        <v>15</v>
      </c>
    </row>
    <row r="28" spans="1:14" x14ac:dyDescent="0.2">
      <c r="A28" t="s">
        <v>22</v>
      </c>
      <c r="B28" s="3" t="s">
        <v>21</v>
      </c>
      <c r="C28" t="s">
        <v>20</v>
      </c>
      <c r="D28">
        <v>56.09</v>
      </c>
      <c r="E28">
        <v>59.735849999999999</v>
      </c>
      <c r="F28">
        <v>1</v>
      </c>
      <c r="G28" t="s">
        <v>19</v>
      </c>
      <c r="H28">
        <v>0.13</v>
      </c>
      <c r="I28" s="2">
        <v>67.501510499999995</v>
      </c>
      <c r="J28">
        <v>0.05</v>
      </c>
      <c r="K28" s="2">
        <v>70.876586024999995</v>
      </c>
      <c r="L28">
        <v>300</v>
      </c>
      <c r="M28">
        <v>0.24000000000000002</v>
      </c>
      <c r="N28" t="s">
        <v>15</v>
      </c>
    </row>
    <row r="29" spans="1:14" x14ac:dyDescent="0.2">
      <c r="A29" t="s">
        <v>18</v>
      </c>
      <c r="C29" t="s">
        <v>17</v>
      </c>
      <c r="D29">
        <v>98</v>
      </c>
      <c r="E29">
        <v>104.36999999999999</v>
      </c>
      <c r="F29">
        <v>1</v>
      </c>
      <c r="G29" t="s">
        <v>16</v>
      </c>
      <c r="H29">
        <v>0.13</v>
      </c>
      <c r="I29" s="2">
        <v>117.93809999999998</v>
      </c>
      <c r="J29">
        <v>0.05</v>
      </c>
      <c r="K29" s="2">
        <v>123.83500499999998</v>
      </c>
      <c r="L29">
        <v>350</v>
      </c>
      <c r="M29">
        <v>0.36</v>
      </c>
      <c r="N29" t="s">
        <v>15</v>
      </c>
    </row>
    <row r="30" spans="1:14" x14ac:dyDescent="0.2">
      <c r="I30" s="2"/>
      <c r="K30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7F748-2A29-D54D-9D20-B0BFFA321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Rates_Master_Paint</vt:lpstr>
      <vt:lpstr>Paint_Prices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Kiara Burcher</cp:lastModifiedBy>
  <dcterms:created xsi:type="dcterms:W3CDTF">2025-10-31T16:33:32Z</dcterms:created>
  <dcterms:modified xsi:type="dcterms:W3CDTF">2025-11-21T21:40:20Z</dcterms:modified>
</cp:coreProperties>
</file>